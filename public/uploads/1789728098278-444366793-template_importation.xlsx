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togooil-my.sharepoint.com/personal/anthelme_kpodar_togosh_com/Documents/upload_file/"/>
    </mc:Choice>
  </mc:AlternateContent>
  <xr:revisionPtr revIDLastSave="0" documentId="8_{298D1D12-9884-4EAA-B2CA-CE9AD155709A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22 au 28062026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307" i="1" l="1"/>
  <c r="C299" i="1"/>
  <c r="C291" i="1"/>
  <c r="C283" i="1"/>
  <c r="C275" i="1"/>
  <c r="F261" i="1"/>
  <c r="E261" i="1"/>
  <c r="D261" i="1"/>
  <c r="C261" i="1"/>
  <c r="F254" i="1"/>
  <c r="E254" i="1"/>
  <c r="D254" i="1"/>
  <c r="C254" i="1"/>
  <c r="I234" i="1"/>
  <c r="H234" i="1"/>
  <c r="G234" i="1"/>
  <c r="F234" i="1"/>
  <c r="E234" i="1"/>
  <c r="D234" i="1"/>
  <c r="C234" i="1"/>
  <c r="I233" i="1"/>
  <c r="H233" i="1"/>
  <c r="G233" i="1"/>
  <c r="F233" i="1"/>
  <c r="E233" i="1"/>
  <c r="D233" i="1"/>
  <c r="C233" i="1"/>
  <c r="J232" i="1"/>
  <c r="I232" i="1"/>
  <c r="H232" i="1"/>
  <c r="G232" i="1"/>
  <c r="F232" i="1"/>
  <c r="E232" i="1"/>
  <c r="D232" i="1"/>
  <c r="C232" i="1"/>
  <c r="I231" i="1"/>
  <c r="H231" i="1"/>
  <c r="G231" i="1"/>
  <c r="F231" i="1"/>
  <c r="E231" i="1"/>
  <c r="D231" i="1"/>
  <c r="C231" i="1"/>
  <c r="I230" i="1"/>
  <c r="H230" i="1"/>
  <c r="G230" i="1"/>
  <c r="F230" i="1"/>
  <c r="E230" i="1"/>
  <c r="D230" i="1"/>
  <c r="C230" i="1"/>
  <c r="J229" i="1"/>
  <c r="J230" i="1" s="1"/>
  <c r="J228" i="1"/>
  <c r="J227" i="1"/>
  <c r="J226" i="1"/>
  <c r="I225" i="1"/>
  <c r="H225" i="1"/>
  <c r="G225" i="1"/>
  <c r="F225" i="1"/>
  <c r="E225" i="1"/>
  <c r="D225" i="1"/>
  <c r="C225" i="1"/>
  <c r="C235" i="1" s="1"/>
  <c r="J224" i="1"/>
  <c r="J223" i="1"/>
  <c r="J222" i="1"/>
  <c r="J221" i="1"/>
  <c r="J225" i="1" s="1"/>
  <c r="I220" i="1"/>
  <c r="H220" i="1"/>
  <c r="G220" i="1"/>
  <c r="F220" i="1"/>
  <c r="E220" i="1"/>
  <c r="D220" i="1"/>
  <c r="J219" i="1"/>
  <c r="J218" i="1"/>
  <c r="J220" i="1" s="1"/>
  <c r="J217" i="1"/>
  <c r="J216" i="1"/>
  <c r="I215" i="1"/>
  <c r="H215" i="1"/>
  <c r="G215" i="1"/>
  <c r="F215" i="1"/>
  <c r="E215" i="1"/>
  <c r="D215" i="1"/>
  <c r="J214" i="1"/>
  <c r="J213" i="1"/>
  <c r="J215" i="1" s="1"/>
  <c r="J212" i="1"/>
  <c r="J211" i="1"/>
  <c r="I210" i="1"/>
  <c r="H210" i="1"/>
  <c r="G210" i="1"/>
  <c r="F210" i="1"/>
  <c r="E210" i="1"/>
  <c r="D210" i="1"/>
  <c r="J209" i="1"/>
  <c r="J208" i="1"/>
  <c r="J207" i="1"/>
  <c r="J206" i="1"/>
  <c r="J210" i="1" s="1"/>
  <c r="I205" i="1"/>
  <c r="H205" i="1"/>
  <c r="G205" i="1"/>
  <c r="F205" i="1"/>
  <c r="E205" i="1"/>
  <c r="D205" i="1"/>
  <c r="J204" i="1"/>
  <c r="J203" i="1"/>
  <c r="J201" i="1"/>
  <c r="J205" i="1" s="1"/>
  <c r="I200" i="1"/>
  <c r="H200" i="1"/>
  <c r="G200" i="1"/>
  <c r="F200" i="1"/>
  <c r="E200" i="1"/>
  <c r="D200" i="1"/>
  <c r="J199" i="1"/>
  <c r="J198" i="1"/>
  <c r="J200" i="1" s="1"/>
  <c r="J196" i="1"/>
  <c r="I195" i="1"/>
  <c r="H195" i="1"/>
  <c r="G195" i="1"/>
  <c r="F195" i="1"/>
  <c r="E195" i="1"/>
  <c r="D195" i="1"/>
  <c r="J194" i="1"/>
  <c r="J193" i="1"/>
  <c r="J191" i="1"/>
  <c r="J195" i="1" s="1"/>
  <c r="I190" i="1"/>
  <c r="H190" i="1"/>
  <c r="G190" i="1"/>
  <c r="F190" i="1"/>
  <c r="E190" i="1"/>
  <c r="D190" i="1"/>
  <c r="J189" i="1"/>
  <c r="J188" i="1"/>
  <c r="J186" i="1"/>
  <c r="J190" i="1" s="1"/>
  <c r="I185" i="1"/>
  <c r="G185" i="1"/>
  <c r="F185" i="1"/>
  <c r="E185" i="1"/>
  <c r="D185" i="1"/>
  <c r="J184" i="1"/>
  <c r="J183" i="1"/>
  <c r="J182" i="1"/>
  <c r="J181" i="1"/>
  <c r="J185" i="1" s="1"/>
  <c r="I180" i="1"/>
  <c r="H180" i="1"/>
  <c r="G180" i="1"/>
  <c r="F180" i="1"/>
  <c r="E180" i="1"/>
  <c r="D180" i="1"/>
  <c r="J179" i="1"/>
  <c r="J178" i="1"/>
  <c r="J180" i="1" s="1"/>
  <c r="J177" i="1"/>
  <c r="J176" i="1"/>
  <c r="I175" i="1"/>
  <c r="H175" i="1"/>
  <c r="G175" i="1"/>
  <c r="F175" i="1"/>
  <c r="E175" i="1"/>
  <c r="D175" i="1"/>
  <c r="J174" i="1"/>
  <c r="J173" i="1"/>
  <c r="J172" i="1"/>
  <c r="J175" i="1" s="1"/>
  <c r="J171" i="1"/>
  <c r="I170" i="1"/>
  <c r="H170" i="1"/>
  <c r="G170" i="1"/>
  <c r="F170" i="1"/>
  <c r="E170" i="1"/>
  <c r="D170" i="1"/>
  <c r="J169" i="1"/>
  <c r="K169" i="1" s="1"/>
  <c r="K168" i="1"/>
  <c r="J168" i="1"/>
  <c r="J167" i="1"/>
  <c r="J170" i="1" s="1"/>
  <c r="K166" i="1"/>
  <c r="J166" i="1"/>
  <c r="I165" i="1"/>
  <c r="H165" i="1"/>
  <c r="G165" i="1"/>
  <c r="F165" i="1"/>
  <c r="E165" i="1"/>
  <c r="D165" i="1"/>
  <c r="J164" i="1"/>
  <c r="K164" i="1" s="1"/>
  <c r="K163" i="1"/>
  <c r="J163" i="1"/>
  <c r="J162" i="1"/>
  <c r="J165" i="1" s="1"/>
  <c r="K161" i="1"/>
  <c r="J161" i="1"/>
  <c r="I160" i="1"/>
  <c r="H160" i="1"/>
  <c r="G160" i="1"/>
  <c r="F160" i="1"/>
  <c r="E160" i="1"/>
  <c r="D160" i="1"/>
  <c r="J159" i="1"/>
  <c r="K159" i="1" s="1"/>
  <c r="K158" i="1"/>
  <c r="J158" i="1"/>
  <c r="J157" i="1"/>
  <c r="J160" i="1" s="1"/>
  <c r="K156" i="1"/>
  <c r="J156" i="1"/>
  <c r="I154" i="1"/>
  <c r="H154" i="1"/>
  <c r="G154" i="1"/>
  <c r="F154" i="1"/>
  <c r="E154" i="1"/>
  <c r="D154" i="1"/>
  <c r="J153" i="1"/>
  <c r="K153" i="1" s="1"/>
  <c r="K152" i="1"/>
  <c r="J152" i="1"/>
  <c r="J151" i="1"/>
  <c r="K151" i="1" s="1"/>
  <c r="K150" i="1"/>
  <c r="J150" i="1"/>
  <c r="I149" i="1"/>
  <c r="H149" i="1"/>
  <c r="G149" i="1"/>
  <c r="F149" i="1"/>
  <c r="E149" i="1"/>
  <c r="D149" i="1"/>
  <c r="J148" i="1"/>
  <c r="K148" i="1" s="1"/>
  <c r="K147" i="1"/>
  <c r="J147" i="1"/>
  <c r="J146" i="1"/>
  <c r="K146" i="1" s="1"/>
  <c r="K145" i="1"/>
  <c r="K149" i="1" s="1"/>
  <c r="J145" i="1"/>
  <c r="I144" i="1"/>
  <c r="H144" i="1"/>
  <c r="G144" i="1"/>
  <c r="F144" i="1"/>
  <c r="E144" i="1"/>
  <c r="D144" i="1"/>
  <c r="J143" i="1"/>
  <c r="K143" i="1" s="1"/>
  <c r="K142" i="1"/>
  <c r="J142" i="1"/>
  <c r="J141" i="1"/>
  <c r="K141" i="1" s="1"/>
  <c r="K140" i="1"/>
  <c r="J140" i="1"/>
  <c r="I139" i="1"/>
  <c r="H139" i="1"/>
  <c r="G139" i="1"/>
  <c r="F139" i="1"/>
  <c r="K139" i="1" s="1"/>
  <c r="E139" i="1"/>
  <c r="D139" i="1"/>
  <c r="J138" i="1"/>
  <c r="K138" i="1" s="1"/>
  <c r="K137" i="1"/>
  <c r="J137" i="1"/>
  <c r="J136" i="1"/>
  <c r="J139" i="1" s="1"/>
  <c r="K135" i="1"/>
  <c r="J135" i="1"/>
  <c r="I131" i="1"/>
  <c r="H131" i="1"/>
  <c r="G131" i="1"/>
  <c r="F131" i="1"/>
  <c r="K131" i="1" s="1"/>
  <c r="E131" i="1"/>
  <c r="D131" i="1"/>
  <c r="J130" i="1"/>
  <c r="K130" i="1" s="1"/>
  <c r="K129" i="1"/>
  <c r="J129" i="1"/>
  <c r="J128" i="1"/>
  <c r="J131" i="1" s="1"/>
  <c r="K127" i="1"/>
  <c r="J127" i="1"/>
  <c r="I126" i="1"/>
  <c r="H126" i="1"/>
  <c r="G126" i="1"/>
  <c r="F126" i="1"/>
  <c r="E126" i="1"/>
  <c r="D126" i="1"/>
  <c r="J125" i="1"/>
  <c r="K125" i="1" s="1"/>
  <c r="K124" i="1"/>
  <c r="J124" i="1"/>
  <c r="J123" i="1"/>
  <c r="J122" i="1"/>
  <c r="J126" i="1" s="1"/>
  <c r="I121" i="1"/>
  <c r="H121" i="1"/>
  <c r="G121" i="1"/>
  <c r="F121" i="1"/>
  <c r="E121" i="1"/>
  <c r="D121" i="1"/>
  <c r="K121" i="1" s="1"/>
  <c r="J120" i="1"/>
  <c r="K120" i="1" s="1"/>
  <c r="K119" i="1"/>
  <c r="J119" i="1"/>
  <c r="J118" i="1"/>
  <c r="K118" i="1" s="1"/>
  <c r="J117" i="1"/>
  <c r="J121" i="1" s="1"/>
  <c r="I116" i="1"/>
  <c r="H116" i="1"/>
  <c r="G116" i="1"/>
  <c r="F116" i="1"/>
  <c r="E116" i="1"/>
  <c r="D116" i="1"/>
  <c r="J115" i="1"/>
  <c r="K115" i="1" s="1"/>
  <c r="K114" i="1"/>
  <c r="J114" i="1"/>
  <c r="J113" i="1"/>
  <c r="K113" i="1" s="1"/>
  <c r="J112" i="1"/>
  <c r="J116" i="1" s="1"/>
  <c r="I111" i="1"/>
  <c r="H111" i="1"/>
  <c r="G111" i="1"/>
  <c r="F111" i="1"/>
  <c r="E111" i="1"/>
  <c r="D111" i="1"/>
  <c r="J110" i="1"/>
  <c r="J109" i="1"/>
  <c r="J108" i="1"/>
  <c r="J107" i="1"/>
  <c r="J111" i="1" s="1"/>
  <c r="I106" i="1"/>
  <c r="H106" i="1"/>
  <c r="G106" i="1"/>
  <c r="F106" i="1"/>
  <c r="E106" i="1"/>
  <c r="D106" i="1"/>
  <c r="K105" i="1"/>
  <c r="J105" i="1"/>
  <c r="J104" i="1"/>
  <c r="K104" i="1" s="1"/>
  <c r="K103" i="1"/>
  <c r="J103" i="1"/>
  <c r="J102" i="1"/>
  <c r="K102" i="1" s="1"/>
  <c r="I101" i="1"/>
  <c r="I235" i="1" s="1"/>
  <c r="H101" i="1"/>
  <c r="H235" i="1" s="1"/>
  <c r="G101" i="1"/>
  <c r="G235" i="1" s="1"/>
  <c r="F101" i="1"/>
  <c r="F235" i="1" s="1"/>
  <c r="E101" i="1"/>
  <c r="E235" i="1" s="1"/>
  <c r="D101" i="1"/>
  <c r="D235" i="1" s="1"/>
  <c r="K100" i="1"/>
  <c r="J100" i="1"/>
  <c r="J234" i="1" s="1"/>
  <c r="J99" i="1"/>
  <c r="J233" i="1" s="1"/>
  <c r="K98" i="1"/>
  <c r="J98" i="1"/>
  <c r="J97" i="1"/>
  <c r="K97" i="1" s="1"/>
  <c r="J92" i="1"/>
  <c r="G18" i="1" s="1"/>
  <c r="J81" i="1"/>
  <c r="J63" i="1"/>
  <c r="J56" i="1"/>
  <c r="E15" i="1" s="1"/>
  <c r="J48" i="1"/>
  <c r="E25" i="1"/>
  <c r="F18" i="1"/>
  <c r="G17" i="1"/>
  <c r="G20" i="1" s="1"/>
  <c r="F17" i="1"/>
  <c r="F20" i="1" s="1"/>
  <c r="E17" i="1"/>
  <c r="D17" i="1"/>
  <c r="G15" i="1"/>
  <c r="D15" i="1"/>
  <c r="D18" i="1" s="1"/>
  <c r="G11" i="1"/>
  <c r="G25" i="1" s="1"/>
  <c r="F11" i="1"/>
  <c r="F25" i="1" s="1"/>
  <c r="E11" i="1"/>
  <c r="D11" i="1"/>
  <c r="D25" i="1" s="1"/>
  <c r="K144" i="1" l="1"/>
  <c r="K154" i="1"/>
  <c r="K234" i="1"/>
  <c r="K106" i="1"/>
  <c r="D20" i="1"/>
  <c r="K116" i="1"/>
  <c r="K126" i="1"/>
  <c r="K160" i="1"/>
  <c r="K99" i="1"/>
  <c r="K233" i="1" s="1"/>
  <c r="J231" i="1"/>
  <c r="K128" i="1"/>
  <c r="K136" i="1"/>
  <c r="K157" i="1"/>
  <c r="K162" i="1"/>
  <c r="K165" i="1" s="1"/>
  <c r="K167" i="1"/>
  <c r="K170" i="1" s="1"/>
  <c r="J101" i="1"/>
  <c r="J106" i="1"/>
  <c r="K112" i="1"/>
  <c r="K122" i="1"/>
  <c r="K171" i="1" s="1"/>
  <c r="K117" i="1"/>
  <c r="E18" i="1"/>
  <c r="E20" i="1" s="1"/>
  <c r="J144" i="1"/>
  <c r="J149" i="1"/>
  <c r="J154" i="1"/>
  <c r="J235" i="1" l="1"/>
  <c r="K232" i="1"/>
  <c r="K101" i="1"/>
  <c r="K235" i="1" s="1"/>
</calcChain>
</file>

<file path=xl/sharedStrings.xml><?xml version="1.0" encoding="utf-8"?>
<sst xmlns="http://schemas.openxmlformats.org/spreadsheetml/2006/main" count="456" uniqueCount="168">
  <si>
    <t>STSL</t>
  </si>
  <si>
    <t>SITUATION DES STOCKS</t>
  </si>
  <si>
    <t>Référence : EN08 TGEX 63
IR : 02
Date d'application : 15/07/21</t>
  </si>
  <si>
    <t>IMLITM</t>
  </si>
  <si>
    <t>24/06/26 à la FERMETURE</t>
  </si>
  <si>
    <t xml:space="preserve"> </t>
  </si>
  <si>
    <t xml:space="preserve">Stock du Trader du Gouvernement </t>
  </si>
  <si>
    <t>Tonnes Métriques</t>
  </si>
  <si>
    <t>SUPER</t>
  </si>
  <si>
    <t xml:space="preserve">JET A1 </t>
  </si>
  <si>
    <t>PETROLE</t>
  </si>
  <si>
    <t>GASOIL</t>
  </si>
  <si>
    <t>VITOL</t>
  </si>
  <si>
    <t>TRAFIGURA PTE LTD</t>
  </si>
  <si>
    <t>Date Dernière Cession au Gouvernement</t>
  </si>
  <si>
    <t>Sorties Mensuelles du Marché Local</t>
  </si>
  <si>
    <t>Mai 2026</t>
  </si>
  <si>
    <t>Nombre de Jours de Stock/Trader</t>
  </si>
  <si>
    <t>Stock du Gouvernement non encore réparti aux Marketers</t>
  </si>
  <si>
    <t>Mètres Cubes ambiant</t>
  </si>
  <si>
    <t>JET A1</t>
  </si>
  <si>
    <t>STOCK 1</t>
  </si>
  <si>
    <t>STOCK 2</t>
  </si>
  <si>
    <t>STOCK TAMPON</t>
  </si>
  <si>
    <t xml:space="preserve">Stock opérationnel du Gouvernement </t>
  </si>
  <si>
    <t xml:space="preserve">TOTAL </t>
  </si>
  <si>
    <t>Date Dernière Répartition aux Marketers Locaux</t>
  </si>
  <si>
    <t>Nombre de Jours de Stock</t>
  </si>
  <si>
    <t>Nombre Total de jour</t>
  </si>
  <si>
    <t>PRODUIT</t>
  </si>
  <si>
    <t>TANKER</t>
  </si>
  <si>
    <t>DENSITE à 15</t>
  </si>
  <si>
    <t>N° Certificat</t>
  </si>
  <si>
    <t>Date de Relâche</t>
  </si>
  <si>
    <t>Vol Amb Restant</t>
  </si>
  <si>
    <t>MT AUGENSTERN du 27/10/2025</t>
  </si>
  <si>
    <t>C405/25</t>
  </si>
  <si>
    <t>MT AUGENSTERN du 20/10/2025</t>
  </si>
  <si>
    <t>C401/25</t>
  </si>
  <si>
    <t>MT SEAMERIT du 02/04/2026</t>
  </si>
  <si>
    <t>C100/26</t>
  </si>
  <si>
    <t>Courrier réf N°035/MEVS/MDCCQ/CSFPPP DU 02/03/26</t>
  </si>
  <si>
    <t>MT ATHENS C du 14/02/2026</t>
  </si>
  <si>
    <t>C046/26</t>
  </si>
  <si>
    <t>Courrier réf N°022/MEVS/MDCCQ/CSFPPP DU 25/02/26</t>
  </si>
  <si>
    <t>Courrier réf N°016/MEVS/MDCCQ/CSFPPP DU 11/02/26</t>
  </si>
  <si>
    <t>Courrier réf N°013/MEVS/MDCCQ/CSFPPP DU 29/01/26</t>
  </si>
  <si>
    <t>Courrier réf N°082/MEVS/MDCCQ/CSFPPP DU 15/06/26</t>
  </si>
  <si>
    <t>Courrier réf N°094/MEVS/MDCCQ/CSFPPP DU 08/07/26</t>
  </si>
  <si>
    <t>MT JAG PRANESH du 18/06/2026</t>
  </si>
  <si>
    <t>C183/26</t>
  </si>
  <si>
    <t>MT TURKELI du 12/06/2026</t>
  </si>
  <si>
    <t>C172/26</t>
  </si>
  <si>
    <t>MT HELLAS AVATAR du 06/05/2026 (stock 1)</t>
  </si>
  <si>
    <t>C143/26</t>
  </si>
  <si>
    <t>MT JAG PRANESH du 18/06/2026 (Stock 1)</t>
  </si>
  <si>
    <t>MT SEAMERIT du 02/04/2026 (stock 1)</t>
  </si>
  <si>
    <t>C099/26</t>
  </si>
  <si>
    <t>MT JAG PRANESH du 18/06/2026 (Stock tampon)</t>
  </si>
  <si>
    <t>TOTAL</t>
  </si>
  <si>
    <t>Courrier réf N°092/MEVS/MDCCQ/CSFPPP DU 02/07/26</t>
  </si>
  <si>
    <t>MT AMIF du 19/05/2026</t>
  </si>
  <si>
    <t>C153/26</t>
  </si>
  <si>
    <t>MT AMIF du 23/02/2026(stock 1)</t>
  </si>
  <si>
    <t>C053/26</t>
  </si>
  <si>
    <t>MT ARDMORE du 09/01/2026(stock 1)</t>
  </si>
  <si>
    <t>C017/26</t>
  </si>
  <si>
    <t>MT ATHINA M du 14/06/2026 (Stock Tampon)</t>
  </si>
  <si>
    <t>C180/26</t>
  </si>
  <si>
    <t>MT CL JANE AUSTEN du 11/12/2024 (Stock Tampon)</t>
  </si>
  <si>
    <t>C585/24</t>
  </si>
  <si>
    <t>MT  HAFNIA CRUX du 29/12/2023</t>
  </si>
  <si>
    <t>C456A/23</t>
  </si>
  <si>
    <t>MT KRITI RUBY du 21/04/2026</t>
  </si>
  <si>
    <t>C122A/26</t>
  </si>
  <si>
    <t>C154A/26</t>
  </si>
  <si>
    <t>MT SEA POWER du 28/11/2025</t>
  </si>
  <si>
    <t>C437A/25</t>
  </si>
  <si>
    <t>MT ELANDRA BALTIC du 18/07/2024 (Stock Tampon)</t>
  </si>
  <si>
    <t>C358A/24</t>
  </si>
  <si>
    <t>Courrier réf N°027/MEVS/MDCCQ/CSFPPP DU 09/03/26</t>
  </si>
  <si>
    <t>Courrier réf N°020/MEVS/MDCCQ/CSFPPP DU 18/02/26</t>
  </si>
  <si>
    <t>MT ST NENNE du 20/12/2025</t>
  </si>
  <si>
    <t>C454/25</t>
  </si>
  <si>
    <t>MT ST NENNE du 05/12/2025</t>
  </si>
  <si>
    <t>C441/25</t>
  </si>
  <si>
    <t>MT PACIFIC PRIDE du 10/11/2025</t>
  </si>
  <si>
    <t>C423/25</t>
  </si>
  <si>
    <t>C422/25</t>
  </si>
  <si>
    <t>MT ATLANTIC SUNFLOWER du 04/11/25</t>
  </si>
  <si>
    <t>C414/25</t>
  </si>
  <si>
    <t>MT SEA FORTUNE du 29/10/2025</t>
  </si>
  <si>
    <t>C408/25</t>
  </si>
  <si>
    <t>MT ST HELEN du 28/06/2026</t>
  </si>
  <si>
    <t>C203A/26</t>
  </si>
  <si>
    <t>C203B/26</t>
  </si>
  <si>
    <t>MT ATHINA M du 14/06/2026</t>
  </si>
  <si>
    <t>C174/26</t>
  </si>
  <si>
    <t>Courrier réf N°057/MEVS/MDCCQ/CSFPPP DU 28/04/26</t>
  </si>
  <si>
    <t>Courrier réf N°064/MEVS/MDCCQ/CSFPPP DU 12/05/26</t>
  </si>
  <si>
    <t>MT ARDMORE du 09/01/2026 (Stock 1)</t>
  </si>
  <si>
    <t>C011/26</t>
  </si>
  <si>
    <t>MT LYSIAS du 10/10/2025 (Stock Tampon)</t>
  </si>
  <si>
    <t>C392/25</t>
  </si>
  <si>
    <t>Courrier réf N°081/MEVS/MDCCQ/CSFPPP DU 09/06/26</t>
  </si>
  <si>
    <t>Courrier réf N°080/MEVS/MDCCQ/CSFPPP DU 03/06/26</t>
  </si>
  <si>
    <t>C150/26</t>
  </si>
  <si>
    <t>Courrier réf N°070/MEVS/MDCCQ/CSFPPP DU 19/05/26</t>
  </si>
  <si>
    <t xml:space="preserve">MT AMRAH du  19/03/2026 </t>
  </si>
  <si>
    <t>C086/26</t>
  </si>
  <si>
    <t>MT LYSIAS du 10/10/2025</t>
  </si>
  <si>
    <t>Stock des Marketers Locaux (m3 ambiant)</t>
  </si>
  <si>
    <t>Nom Marketer</t>
  </si>
  <si>
    <t>Produit</t>
  </si>
  <si>
    <t>Stock Ouverture (semaine précédente)</t>
  </si>
  <si>
    <t>Cession de stock CSFPPP (semaine précédente)</t>
  </si>
  <si>
    <t>Cession de stock Marketer (semaine précédente)</t>
  </si>
  <si>
    <t>Coulage de stock</t>
  </si>
  <si>
    <t>Transfert STE(semaine précédente)</t>
  </si>
  <si>
    <t>Sorties Directes STSL par camion/pipe</t>
  </si>
  <si>
    <t>Transfert CEB(semaine précédente) ou Autres</t>
  </si>
  <si>
    <t xml:space="preserve">Stock du jour </t>
  </si>
  <si>
    <t>Stock du jour</t>
  </si>
  <si>
    <t>TOTALENERGIES</t>
  </si>
  <si>
    <t>CUMUL</t>
  </si>
  <si>
    <t>TOGO OIL COMPANY</t>
  </si>
  <si>
    <t>TOGO OIL COMPANY P/C EBOMAF</t>
  </si>
  <si>
    <t>CORLAY TOGO</t>
  </si>
  <si>
    <t>NRL Togo S.A</t>
  </si>
  <si>
    <t>CAP TOGO</t>
  </si>
  <si>
    <t>LE CERVEAU TOGO</t>
  </si>
  <si>
    <t>SOMAYAF TOGO</t>
  </si>
  <si>
    <t>ETOILE DU GOLFE</t>
  </si>
  <si>
    <t>SANOL</t>
  </si>
  <si>
    <t>SOMIE</t>
  </si>
  <si>
    <t>CEET</t>
  </si>
  <si>
    <t>FISOG</t>
  </si>
  <si>
    <t>SANAP</t>
  </si>
  <si>
    <t>TRAVEL OIL</t>
  </si>
  <si>
    <t>SNPT</t>
  </si>
  <si>
    <t>COLIENERGY</t>
  </si>
  <si>
    <t>SADKO</t>
  </si>
  <si>
    <t>JNP</t>
  </si>
  <si>
    <t>YATT &amp; CO</t>
  </si>
  <si>
    <t>BPS</t>
  </si>
  <si>
    <t>PETROLEUM SA</t>
  </si>
  <si>
    <t>ZENER</t>
  </si>
  <si>
    <t>SOTRAL</t>
  </si>
  <si>
    <t>APRIL OIL</t>
  </si>
  <si>
    <t>STPP</t>
  </si>
  <si>
    <t>Stock des Clients Exterieurs (m3 ambiant)</t>
  </si>
  <si>
    <t>Nom Client</t>
  </si>
  <si>
    <t>Camions</t>
  </si>
  <si>
    <t>Chargés</t>
  </si>
  <si>
    <t>Instance</t>
  </si>
  <si>
    <t>Nouveau</t>
  </si>
  <si>
    <t>SONABHY</t>
  </si>
  <si>
    <t>HFO180</t>
  </si>
  <si>
    <t>DDO</t>
  </si>
  <si>
    <t>SONIDEP</t>
  </si>
  <si>
    <t>Stock des Traders STSL (m3 ambiant)</t>
  </si>
  <si>
    <t>Nom Trader</t>
  </si>
  <si>
    <t>MALI</t>
  </si>
  <si>
    <t>BITUME</t>
  </si>
  <si>
    <t>ALLIANCE</t>
  </si>
  <si>
    <t>DEMEX</t>
  </si>
  <si>
    <t>TOTSA</t>
  </si>
  <si>
    <t>Référence : EN08 TGEX 63
IR : 02
Date d'application : jj/mm/aaaa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</si>
</sst>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\-??_);_(@_)"/>
    <numFmt numFmtId="165" formatCode="_-* #,##0.00\ _€_-;\-* #,##0.00\ _€_-;_-* \-??\ _€_-;_-@_-"/>
    <numFmt numFmtId="166" formatCode="m/d/yyyy"/>
    <numFmt numFmtId="167" formatCode="#,##0.000"/>
    <numFmt numFmtId="168" formatCode="0.0000"/>
    <numFmt numFmtId="169" formatCode="0.000"/>
  </numFmts>
  <fonts count="31">
    <font>
      <sz val="10"/>
      <name val="Arial"/>
      <family val="2"/>
      <charset val="1"/>
    </font>
    <font>
      <sz val="11"/>
      <color theme="1"/>
      <name val="Calibri"/>
      <family val="2"/>
      <charset val="1"/>
    </font>
    <font>
      <b/>
      <sz val="16"/>
      <color rgb="FF0070C0"/>
      <name val="Arial"/>
      <family val="2"/>
      <charset val="1"/>
    </font>
    <font>
      <b/>
      <sz val="16"/>
      <name val="Arial"/>
      <family val="2"/>
      <charset val="1"/>
    </font>
    <font>
      <sz val="12"/>
      <name val="Arial"/>
      <family val="2"/>
      <charset val="1"/>
    </font>
    <font>
      <b/>
      <sz val="14"/>
      <color rgb="FF0000FF"/>
      <name val="Garamond"/>
      <family val="1"/>
      <charset val="1"/>
    </font>
    <font>
      <b/>
      <sz val="10"/>
      <name val="Arial"/>
      <family val="2"/>
      <charset val="1"/>
    </font>
    <font>
      <b/>
      <sz val="10"/>
      <name val="Garamond"/>
      <family val="1"/>
      <charset val="1"/>
    </font>
    <font>
      <b/>
      <sz val="10"/>
      <color rgb="FF0000FF"/>
      <name val="Garamond"/>
      <family val="1"/>
      <charset val="1"/>
    </font>
    <font>
      <b/>
      <sz val="6"/>
      <name val="Garamond"/>
      <family val="1"/>
      <charset val="1"/>
    </font>
    <font>
      <b/>
      <sz val="11"/>
      <name val="Garamond"/>
      <family val="1"/>
      <charset val="1"/>
    </font>
    <font>
      <sz val="10"/>
      <name val="Garamond"/>
      <family val="1"/>
      <charset val="1"/>
    </font>
    <font>
      <b/>
      <sz val="11"/>
      <color rgb="FF0000FF"/>
      <name val="Garamond"/>
      <family val="1"/>
      <charset val="1"/>
    </font>
    <font>
      <b/>
      <sz val="11"/>
      <name val="Arial"/>
      <family val="2"/>
      <charset val="1"/>
    </font>
    <font>
      <sz val="14"/>
      <color theme="1"/>
      <name val="Calibri"/>
      <family val="2"/>
      <charset val="1"/>
    </font>
    <font>
      <b/>
      <i/>
      <u/>
      <sz val="11"/>
      <name val="It"/>
      <charset val="1"/>
    </font>
    <font>
      <sz val="11"/>
      <name val="Garamond"/>
      <family val="1"/>
      <charset val="1"/>
    </font>
    <font>
      <b/>
      <sz val="12"/>
      <color rgb="FF0000FF"/>
      <name val="Garamond"/>
      <family val="1"/>
      <charset val="1"/>
    </font>
    <font>
      <sz val="9"/>
      <name val="Garamond"/>
      <family val="1"/>
      <charset val="1"/>
    </font>
    <font>
      <sz val="9"/>
      <name val="Arial"/>
      <family val="2"/>
      <charset val="1"/>
    </font>
    <font>
      <sz val="7"/>
      <name val="Garamond"/>
      <family val="1"/>
      <charset val="1"/>
    </font>
    <font>
      <sz val="8"/>
      <name val="Garamond"/>
      <family val="1"/>
      <charset val="1"/>
    </font>
    <font>
      <b/>
      <sz val="9"/>
      <name val="Arial"/>
      <family val="2"/>
      <charset val="1"/>
    </font>
    <font>
      <b/>
      <sz val="9"/>
      <color rgb="FF0000FF"/>
      <name val="Garamond"/>
      <family val="1"/>
      <charset val="1"/>
    </font>
    <font>
      <b/>
      <sz val="16"/>
      <color theme="0"/>
      <name val="Arial"/>
      <family val="2"/>
      <charset val="1"/>
    </font>
    <font>
      <sz val="12"/>
      <color theme="0"/>
      <name val="Arial"/>
      <family val="2"/>
      <charset val="1"/>
    </font>
    <font>
      <b/>
      <sz val="10"/>
      <color theme="0"/>
      <name val="Garamond"/>
      <family val="1"/>
      <charset val="1"/>
    </font>
    <font>
      <sz val="10"/>
      <color theme="0"/>
      <name val="Arial"/>
      <family val="2"/>
      <charset val="1"/>
    </font>
    <font>
      <b/>
      <sz val="10"/>
      <color rgb="FFFF0000"/>
      <name val="Arial"/>
      <family val="2"/>
      <charset val="1"/>
    </font>
    <font>
      <sz val="10"/>
      <color rgb="FF0000FF"/>
      <name val="Garamond"/>
      <family val="1"/>
      <charset val="1"/>
    </font>
    <font>
      <sz val="1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2F2F2"/>
      </patternFill>
    </fill>
    <fill>
      <patternFill patternType="solid">
        <fgColor rgb="FFCCFFCC"/>
        <bgColor rgb="FFDEEBF7"/>
      </patternFill>
    </fill>
    <fill>
      <patternFill patternType="solid">
        <fgColor rgb="FFC0C0C0"/>
        <bgColor rgb="FFBFBFBF"/>
      </patternFill>
    </fill>
    <fill>
      <patternFill patternType="solid">
        <fgColor theme="0" tint="-4.9989318521683403E-2"/>
        <bgColor rgb="FFE7E6E6"/>
      </patternFill>
    </fill>
    <fill>
      <patternFill patternType="solid">
        <fgColor theme="0" tint="-0.14999847407452621"/>
        <bgColor rgb="FFD0CECE"/>
      </patternFill>
    </fill>
    <fill>
      <patternFill patternType="solid">
        <fgColor theme="2" tint="-9.9978637043366805E-2"/>
        <bgColor rgb="FFD9D9D9"/>
      </patternFill>
    </fill>
    <fill>
      <patternFill patternType="solid">
        <fgColor theme="2"/>
        <bgColor rgb="FFDEEBF7"/>
      </patternFill>
    </fill>
    <fill>
      <patternFill patternType="solid">
        <fgColor theme="4" tint="0.79989013336588644"/>
        <bgColor rgb="FFE7E6E6"/>
      </patternFill>
    </fill>
    <fill>
      <patternFill patternType="solid">
        <fgColor theme="0" tint="-0.249977111117893"/>
        <bgColor rgb="FFC0C0C0"/>
      </patternFill>
    </fill>
  </fills>
  <borders count="5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9" fontId="30" fillId="0" borderId="0"/>
    <xf numFmtId="164" fontId="30" fillId="0" borderId="0"/>
    <xf numFmtId="165" fontId="1" fillId="0" borderId="0"/>
    <xf numFmtId="0" fontId="30" fillId="0" borderId="0"/>
  </cellStyleXfs>
  <cellXfs count="257">
    <xf numFmtId="0" fontId="0" fillId="0" borderId="0" xfId="0"/>
    <xf numFmtId="3" fontId="12" fillId="0" borderId="1" xfId="0" applyNumberFormat="1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3" fontId="8" fillId="0" borderId="15" xfId="0" applyNumberFormat="1" applyFont="1" applyBorder="1" applyAlignment="1">
      <alignment horizontal="left" vertical="center" wrapText="1"/>
    </xf>
    <xf numFmtId="49" fontId="8" fillId="0" borderId="14" xfId="0" applyNumberFormat="1" applyFont="1" applyBorder="1" applyAlignment="1">
      <alignment horizontal="left" vertical="center" wrapText="1"/>
    </xf>
    <xf numFmtId="3" fontId="11" fillId="0" borderId="12" xfId="0" applyNumberFormat="1" applyFont="1" applyBorder="1" applyAlignment="1">
      <alignment horizontal="center" vertical="center" wrapText="1"/>
    </xf>
    <xf numFmtId="3" fontId="11" fillId="0" borderId="11" xfId="0" applyNumberFormat="1" applyFont="1" applyBorder="1" applyAlignment="1">
      <alignment horizontal="center" vertical="center" wrapText="1"/>
    </xf>
    <xf numFmtId="3" fontId="8" fillId="0" borderId="13" xfId="0" applyNumberFormat="1" applyFont="1" applyBorder="1" applyAlignment="1">
      <alignment horizontal="left" vertical="center" wrapText="1"/>
    </xf>
    <xf numFmtId="167" fontId="9" fillId="0" borderId="5" xfId="1" applyNumberFormat="1" applyFont="1" applyBorder="1" applyAlignment="1">
      <alignment horizontal="center" vertical="center" wrapText="1"/>
    </xf>
    <xf numFmtId="3" fontId="8" fillId="0" borderId="10" xfId="0" applyNumberFormat="1" applyFont="1" applyBorder="1" applyAlignment="1">
      <alignment horizontal="left" vertical="center" wrapText="1"/>
    </xf>
    <xf numFmtId="0" fontId="6" fillId="0" borderId="7" xfId="0" applyFont="1" applyBorder="1" applyAlignment="1">
      <alignment horizontal="center" vertical="center" wrapText="1"/>
    </xf>
    <xf numFmtId="3" fontId="5" fillId="4" borderId="6" xfId="0" applyNumberFormat="1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3" fontId="4" fillId="2" borderId="1" xfId="0" applyNumberFormat="1" applyFont="1" applyFill="1" applyBorder="1" applyAlignment="1">
      <alignment horizontal="left" vertical="center" wrapText="1"/>
    </xf>
    <xf numFmtId="3" fontId="3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3" fontId="5" fillId="3" borderId="2" xfId="0" applyNumberFormat="1" applyFont="1" applyFill="1" applyBorder="1" applyAlignment="1">
      <alignment vertical="center" wrapText="1"/>
    </xf>
    <xf numFmtId="0" fontId="0" fillId="0" borderId="4" xfId="0" applyBorder="1" applyAlignment="1">
      <alignment horizontal="center" vertical="center" wrapText="1"/>
    </xf>
    <xf numFmtId="166" fontId="7" fillId="0" borderId="0" xfId="0" applyNumberFormat="1" applyFont="1" applyAlignment="1">
      <alignment horizontal="center" vertical="center" wrapText="1"/>
    </xf>
    <xf numFmtId="166" fontId="7" fillId="0" borderId="5" xfId="0" applyNumberFormat="1" applyFont="1" applyBorder="1" applyAlignment="1">
      <alignment horizontal="center" vertical="center" wrapText="1"/>
    </xf>
    <xf numFmtId="3" fontId="5" fillId="0" borderId="0" xfId="0" applyNumberFormat="1" applyFont="1" applyAlignment="1">
      <alignment horizontal="center" vertical="center"/>
    </xf>
    <xf numFmtId="3" fontId="8" fillId="0" borderId="8" xfId="0" applyNumberFormat="1" applyFont="1" applyBorder="1" applyAlignment="1">
      <alignment horizontal="center" vertical="center" wrapText="1"/>
    </xf>
    <xf numFmtId="3" fontId="8" fillId="0" borderId="9" xfId="0" applyNumberFormat="1" applyFont="1" applyBorder="1" applyAlignment="1">
      <alignment horizontal="center" vertical="center" wrapText="1"/>
    </xf>
    <xf numFmtId="3" fontId="8" fillId="0" borderId="0" xfId="0" applyNumberFormat="1" applyFont="1" applyAlignment="1">
      <alignment horizontal="center" vertical="center" wrapText="1"/>
    </xf>
    <xf numFmtId="167" fontId="7" fillId="0" borderId="11" xfId="1" applyNumberFormat="1" applyFont="1" applyBorder="1" applyAlignment="1">
      <alignment horizontal="center" vertical="center" wrapText="1"/>
    </xf>
    <xf numFmtId="167" fontId="7" fillId="0" borderId="12" xfId="1" applyNumberFormat="1" applyFont="1" applyBorder="1" applyAlignment="1">
      <alignment horizontal="center" vertical="center" wrapText="1"/>
    </xf>
    <xf numFmtId="167" fontId="9" fillId="0" borderId="0" xfId="1" applyNumberFormat="1" applyFont="1" applyAlignment="1">
      <alignment horizontal="center" vertical="center" wrapText="1"/>
    </xf>
    <xf numFmtId="167" fontId="7" fillId="0" borderId="0" xfId="1" applyNumberFormat="1" applyFont="1" applyAlignment="1">
      <alignment horizontal="center" vertical="center" wrapText="1"/>
    </xf>
    <xf numFmtId="166" fontId="10" fillId="0" borderId="11" xfId="0" applyNumberFormat="1" applyFont="1" applyBorder="1" applyAlignment="1">
      <alignment horizontal="center" vertical="center" wrapText="1"/>
    </xf>
    <xf numFmtId="166" fontId="10" fillId="0" borderId="12" xfId="0" applyNumberFormat="1" applyFont="1" applyBorder="1" applyAlignment="1">
      <alignment horizontal="center" vertical="center" wrapText="1"/>
    </xf>
    <xf numFmtId="3" fontId="11" fillId="0" borderId="0" xfId="0" applyNumberFormat="1" applyFont="1" applyAlignment="1">
      <alignment horizontal="center" vertical="center" wrapText="1"/>
    </xf>
    <xf numFmtId="3" fontId="11" fillId="0" borderId="16" xfId="0" applyNumberFormat="1" applyFont="1" applyBorder="1" applyAlignment="1">
      <alignment horizontal="center" vertical="center" wrapText="1"/>
    </xf>
    <xf numFmtId="3" fontId="11" fillId="0" borderId="17" xfId="0" applyNumberFormat="1" applyFont="1" applyBorder="1" applyAlignment="1">
      <alignment horizontal="center" vertical="center" wrapText="1"/>
    </xf>
    <xf numFmtId="3" fontId="5" fillId="0" borderId="0" xfId="0" applyNumberFormat="1" applyFont="1" applyAlignment="1">
      <alignment horizontal="center" vertical="center" wrapText="1"/>
    </xf>
    <xf numFmtId="0" fontId="0" fillId="0" borderId="19" xfId="0" applyBorder="1" applyAlignment="1">
      <alignment vertical="center"/>
    </xf>
    <xf numFmtId="0" fontId="0" fillId="0" borderId="5" xfId="0" applyBorder="1" applyAlignment="1">
      <alignment vertical="center"/>
    </xf>
    <xf numFmtId="3" fontId="12" fillId="0" borderId="20" xfId="0" applyNumberFormat="1" applyFont="1" applyBorder="1" applyAlignment="1">
      <alignment horizontal="center" vertical="center" wrapText="1"/>
    </xf>
    <xf numFmtId="3" fontId="12" fillId="0" borderId="21" xfId="0" applyNumberFormat="1" applyFont="1" applyBorder="1" applyAlignment="1">
      <alignment horizontal="center" vertical="center" wrapText="1"/>
    </xf>
    <xf numFmtId="3" fontId="12" fillId="0" borderId="22" xfId="0" applyNumberFormat="1" applyFont="1" applyBorder="1" applyAlignment="1">
      <alignment horizontal="center" vertical="center" wrapText="1"/>
    </xf>
    <xf numFmtId="3" fontId="14" fillId="0" borderId="11" xfId="0" applyNumberFormat="1" applyFont="1" applyBorder="1"/>
    <xf numFmtId="167" fontId="7" fillId="0" borderId="23" xfId="1" applyNumberFormat="1" applyFont="1" applyBorder="1" applyAlignment="1">
      <alignment horizontal="center" vertical="center" wrapText="1"/>
    </xf>
    <xf numFmtId="0" fontId="0" fillId="0" borderId="5" xfId="0" applyBorder="1" applyAlignment="1">
      <alignment horizontal="right" vertical="center"/>
    </xf>
    <xf numFmtId="167" fontId="10" fillId="0" borderId="1" xfId="0" applyNumberFormat="1" applyFont="1" applyBorder="1" applyAlignment="1">
      <alignment horizontal="center" vertical="center" wrapText="1"/>
    </xf>
    <xf numFmtId="167" fontId="0" fillId="0" borderId="5" xfId="0" applyNumberFormat="1" applyBorder="1" applyAlignment="1">
      <alignment vertical="center"/>
    </xf>
    <xf numFmtId="167" fontId="15" fillId="5" borderId="25" xfId="1" applyNumberFormat="1" applyFont="1" applyFill="1" applyBorder="1" applyAlignment="1">
      <alignment horizontal="center" vertical="center" wrapText="1"/>
    </xf>
    <xf numFmtId="167" fontId="11" fillId="0" borderId="0" xfId="1" applyNumberFormat="1" applyFont="1" applyAlignment="1">
      <alignment horizontal="center" vertical="center" wrapText="1"/>
    </xf>
    <xf numFmtId="166" fontId="10" fillId="0" borderId="1" xfId="0" applyNumberFormat="1" applyFont="1" applyBorder="1" applyAlignment="1">
      <alignment horizontal="center" vertical="center" wrapText="1"/>
    </xf>
    <xf numFmtId="3" fontId="16" fillId="0" borderId="27" xfId="0" applyNumberFormat="1" applyFont="1" applyBorder="1" applyAlignment="1">
      <alignment horizontal="center" vertical="center" wrapText="1"/>
    </xf>
    <xf numFmtId="3" fontId="8" fillId="0" borderId="28" xfId="0" applyNumberFormat="1" applyFont="1" applyBorder="1" applyAlignment="1">
      <alignment horizontal="left" vertical="center" wrapText="1"/>
    </xf>
    <xf numFmtId="3" fontId="8" fillId="0" borderId="29" xfId="0" applyNumberFormat="1" applyFont="1" applyBorder="1" applyAlignment="1">
      <alignment horizontal="left" vertical="center" wrapText="1"/>
    </xf>
    <xf numFmtId="167" fontId="11" fillId="0" borderId="29" xfId="1" applyNumberFormat="1" applyFont="1" applyBorder="1" applyAlignment="1">
      <alignment horizontal="center" vertical="center" wrapText="1"/>
    </xf>
    <xf numFmtId="167" fontId="11" fillId="0" borderId="30" xfId="1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3" fontId="16" fillId="0" borderId="26" xfId="0" applyNumberFormat="1" applyFont="1" applyBorder="1" applyAlignment="1">
      <alignment horizontal="center" vertical="center" wrapText="1"/>
    </xf>
    <xf numFmtId="3" fontId="16" fillId="0" borderId="23" xfId="0" applyNumberFormat="1" applyFont="1" applyBorder="1" applyAlignment="1">
      <alignment horizontal="center" vertical="center" wrapText="1"/>
    </xf>
    <xf numFmtId="3" fontId="8" fillId="0" borderId="19" xfId="0" applyNumberFormat="1" applyFont="1" applyBorder="1" applyAlignment="1">
      <alignment horizontal="center" vertical="center" wrapText="1"/>
    </xf>
    <xf numFmtId="3" fontId="8" fillId="0" borderId="0" xfId="0" applyNumberFormat="1" applyFont="1" applyAlignment="1">
      <alignment horizontal="left" vertical="center" wrapText="1"/>
    </xf>
    <xf numFmtId="3" fontId="7" fillId="0" borderId="3" xfId="0" applyNumberFormat="1" applyFont="1" applyBorder="1" applyAlignment="1">
      <alignment horizontal="center" vertical="center" wrapText="1"/>
    </xf>
    <xf numFmtId="167" fontId="7" fillId="0" borderId="1" xfId="0" applyNumberFormat="1" applyFont="1" applyBorder="1" applyAlignment="1">
      <alignment horizontal="center" vertical="center" wrapText="1"/>
    </xf>
    <xf numFmtId="167" fontId="7" fillId="0" borderId="3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167" fontId="7" fillId="0" borderId="2" xfId="0" applyNumberFormat="1" applyFont="1" applyBorder="1" applyAlignment="1">
      <alignment horizontal="center" vertical="center" wrapText="1"/>
    </xf>
    <xf numFmtId="167" fontId="0" fillId="0" borderId="1" xfId="0" applyNumberFormat="1" applyBorder="1" applyAlignment="1">
      <alignment vertical="center"/>
    </xf>
    <xf numFmtId="0" fontId="19" fillId="0" borderId="2" xfId="0" applyFont="1" applyBorder="1" applyAlignment="1">
      <alignment horizontal="center" vertical="center"/>
    </xf>
    <xf numFmtId="166" fontId="0" fillId="0" borderId="31" xfId="0" applyNumberFormat="1" applyBorder="1" applyAlignment="1">
      <alignment vertical="center"/>
    </xf>
    <xf numFmtId="0" fontId="0" fillId="0" borderId="2" xfId="0" applyBorder="1" applyAlignment="1">
      <alignment horizontal="center" vertical="center"/>
    </xf>
    <xf numFmtId="167" fontId="7" fillId="0" borderId="30" xfId="0" applyNumberFormat="1" applyFont="1" applyBorder="1" applyAlignment="1">
      <alignment horizontal="center" vertical="center" wrapText="1"/>
    </xf>
    <xf numFmtId="168" fontId="0" fillId="0" borderId="1" xfId="0" applyNumberFormat="1" applyBorder="1" applyAlignment="1">
      <alignment horizontal="center" vertical="center"/>
    </xf>
    <xf numFmtId="167" fontId="0" fillId="0" borderId="25" xfId="0" applyNumberFormat="1" applyBorder="1" applyAlignment="1">
      <alignment vertical="center"/>
    </xf>
    <xf numFmtId="168" fontId="0" fillId="6" borderId="1" xfId="0" applyNumberFormat="1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167" fontId="7" fillId="6" borderId="30" xfId="0" applyNumberFormat="1" applyFont="1" applyFill="1" applyBorder="1" applyAlignment="1">
      <alignment horizontal="center" vertical="center" wrapText="1"/>
    </xf>
    <xf numFmtId="167" fontId="0" fillId="6" borderId="25" xfId="0" applyNumberFormat="1" applyFill="1" applyBorder="1" applyAlignment="1">
      <alignment vertical="center"/>
    </xf>
    <xf numFmtId="168" fontId="0" fillId="7" borderId="1" xfId="0" applyNumberForma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167" fontId="0" fillId="7" borderId="25" xfId="0" applyNumberFormat="1" applyFill="1" applyBorder="1" applyAlignment="1">
      <alignment vertical="center"/>
    </xf>
    <xf numFmtId="0" fontId="6" fillId="0" borderId="3" xfId="0" applyFont="1" applyBorder="1" applyAlignment="1">
      <alignment vertical="center"/>
    </xf>
    <xf numFmtId="0" fontId="0" fillId="6" borderId="1" xfId="0" applyFill="1" applyBorder="1" applyAlignment="1">
      <alignment horizontal="center" vertical="center"/>
    </xf>
    <xf numFmtId="0" fontId="0" fillId="7" borderId="3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167" fontId="6" fillId="0" borderId="25" xfId="0" applyNumberFormat="1" applyFont="1" applyBorder="1" applyAlignment="1">
      <alignment vertical="center"/>
    </xf>
    <xf numFmtId="167" fontId="7" fillId="0" borderId="0" xfId="0" applyNumberFormat="1" applyFont="1" applyAlignment="1">
      <alignment vertical="center" wrapText="1"/>
    </xf>
    <xf numFmtId="167" fontId="8" fillId="0" borderId="0" xfId="0" applyNumberFormat="1" applyFont="1" applyAlignment="1">
      <alignment vertical="center" wrapText="1"/>
    </xf>
    <xf numFmtId="167" fontId="8" fillId="0" borderId="5" xfId="0" applyNumberFormat="1" applyFont="1" applyBorder="1" applyAlignment="1">
      <alignment vertical="center" wrapText="1"/>
    </xf>
    <xf numFmtId="0" fontId="6" fillId="8" borderId="1" xfId="0" applyFont="1" applyFill="1" applyBorder="1" applyAlignment="1">
      <alignment vertical="center"/>
    </xf>
    <xf numFmtId="167" fontId="0" fillId="8" borderId="1" xfId="0" applyNumberFormat="1" applyFill="1" applyBorder="1" applyAlignment="1">
      <alignment vertical="center"/>
    </xf>
    <xf numFmtId="0" fontId="0" fillId="8" borderId="1" xfId="0" applyFill="1" applyBorder="1" applyAlignment="1">
      <alignment horizontal="center" vertical="center"/>
    </xf>
    <xf numFmtId="0" fontId="19" fillId="8" borderId="2" xfId="0" applyFont="1" applyFill="1" applyBorder="1" applyAlignment="1">
      <alignment horizontal="center" vertical="center"/>
    </xf>
    <xf numFmtId="167" fontId="0" fillId="7" borderId="1" xfId="0" applyNumberFormat="1" applyFill="1" applyBorder="1" applyAlignment="1">
      <alignment vertical="center"/>
    </xf>
    <xf numFmtId="0" fontId="0" fillId="0" borderId="0" xfId="0" applyAlignment="1">
      <alignment horizontal="center" vertical="center" wrapText="1"/>
    </xf>
    <xf numFmtId="167" fontId="6" fillId="0" borderId="1" xfId="0" applyNumberFormat="1" applyFont="1" applyBorder="1" applyAlignment="1">
      <alignment vertical="center"/>
    </xf>
    <xf numFmtId="166" fontId="6" fillId="0" borderId="0" xfId="0" applyNumberFormat="1" applyFont="1" applyAlignment="1">
      <alignment horizontal="left" vertical="center"/>
    </xf>
    <xf numFmtId="167" fontId="6" fillId="0" borderId="0" xfId="0" applyNumberFormat="1" applyFont="1" applyAlignment="1">
      <alignment vertical="center"/>
    </xf>
    <xf numFmtId="0" fontId="6" fillId="0" borderId="1" xfId="0" applyFont="1" applyBorder="1" applyAlignment="1">
      <alignment horizontal="left" vertical="center"/>
    </xf>
    <xf numFmtId="169" fontId="0" fillId="0" borderId="1" xfId="0" applyNumberFormat="1" applyBorder="1" applyAlignment="1">
      <alignment vertical="center"/>
    </xf>
    <xf numFmtId="0" fontId="0" fillId="8" borderId="2" xfId="0" applyFill="1" applyBorder="1" applyAlignment="1">
      <alignment horizontal="center" vertical="center"/>
    </xf>
    <xf numFmtId="169" fontId="0" fillId="8" borderId="1" xfId="0" applyNumberFormat="1" applyFill="1" applyBorder="1" applyAlignment="1">
      <alignment vertical="center"/>
    </xf>
    <xf numFmtId="0" fontId="6" fillId="0" borderId="19" xfId="0" applyFont="1" applyBorder="1" applyAlignment="1">
      <alignment horizontal="left" vertical="center" wrapText="1"/>
    </xf>
    <xf numFmtId="0" fontId="0" fillId="0" borderId="31" xfId="0" applyBorder="1" applyAlignment="1">
      <alignment vertical="center"/>
    </xf>
    <xf numFmtId="0" fontId="6" fillId="0" borderId="0" xfId="0" applyFont="1" applyAlignment="1">
      <alignment horizontal="center" vertical="center"/>
    </xf>
    <xf numFmtId="166" fontId="0" fillId="0" borderId="2" xfId="0" applyNumberFormat="1" applyBorder="1" applyAlignment="1">
      <alignment horizontal="center" vertical="center"/>
    </xf>
    <xf numFmtId="167" fontId="0" fillId="6" borderId="1" xfId="0" applyNumberFormat="1" applyFill="1" applyBorder="1" applyAlignment="1">
      <alignment vertical="center"/>
    </xf>
    <xf numFmtId="0" fontId="19" fillId="7" borderId="2" xfId="0" applyFont="1" applyFill="1" applyBorder="1" applyAlignment="1">
      <alignment horizontal="center" vertical="center"/>
    </xf>
    <xf numFmtId="0" fontId="19" fillId="0" borderId="19" xfId="0" applyFont="1" applyBorder="1" applyAlignment="1">
      <alignment vertical="center"/>
    </xf>
    <xf numFmtId="0" fontId="19" fillId="0" borderId="0" xfId="0" applyFont="1" applyAlignment="1">
      <alignment vertical="center"/>
    </xf>
    <xf numFmtId="0" fontId="19" fillId="0" borderId="31" xfId="0" applyFont="1" applyBorder="1" applyAlignment="1">
      <alignment vertical="center"/>
    </xf>
    <xf numFmtId="167" fontId="22" fillId="0" borderId="1" xfId="0" applyNumberFormat="1" applyFont="1" applyBorder="1" applyAlignment="1">
      <alignment vertical="center"/>
    </xf>
    <xf numFmtId="0" fontId="0" fillId="9" borderId="1" xfId="0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167" fontId="0" fillId="9" borderId="1" xfId="0" applyNumberFormat="1" applyFill="1" applyBorder="1" applyAlignment="1">
      <alignment vertical="center"/>
    </xf>
    <xf numFmtId="167" fontId="0" fillId="8" borderId="25" xfId="0" applyNumberFormat="1" applyFill="1" applyBorder="1" applyAlignment="1">
      <alignment vertical="center"/>
    </xf>
    <xf numFmtId="167" fontId="6" fillId="0" borderId="5" xfId="0" applyNumberFormat="1" applyFont="1" applyBorder="1" applyAlignment="1">
      <alignment vertical="center"/>
    </xf>
    <xf numFmtId="3" fontId="5" fillId="4" borderId="2" xfId="0" applyNumberFormat="1" applyFont="1" applyFill="1" applyBorder="1" applyAlignment="1">
      <alignment vertical="center" wrapText="1"/>
    </xf>
    <xf numFmtId="3" fontId="23" fillId="0" borderId="26" xfId="0" applyNumberFormat="1" applyFont="1" applyBorder="1" applyAlignment="1">
      <alignment vertical="center" wrapText="1"/>
    </xf>
    <xf numFmtId="3" fontId="23" fillId="0" borderId="27" xfId="0" applyNumberFormat="1" applyFont="1" applyBorder="1" applyAlignment="1">
      <alignment vertical="center" wrapText="1"/>
    </xf>
    <xf numFmtId="3" fontId="23" fillId="0" borderId="23" xfId="0" applyNumberFormat="1" applyFont="1" applyBorder="1" applyAlignment="1">
      <alignment vertical="center" wrapText="1"/>
    </xf>
    <xf numFmtId="3" fontId="23" fillId="0" borderId="2" xfId="0" applyNumberFormat="1" applyFont="1" applyBorder="1" applyAlignment="1">
      <alignment vertical="center" wrapText="1"/>
    </xf>
    <xf numFmtId="167" fontId="11" fillId="0" borderId="8" xfId="0" applyNumberFormat="1" applyFont="1" applyBorder="1" applyAlignment="1">
      <alignment vertical="center" wrapText="1"/>
    </xf>
    <xf numFmtId="167" fontId="11" fillId="0" borderId="32" xfId="0" applyNumberFormat="1" applyFont="1" applyBorder="1" applyAlignment="1">
      <alignment vertical="center" wrapText="1"/>
    </xf>
    <xf numFmtId="3" fontId="11" fillId="0" borderId="8" xfId="0" applyNumberFormat="1" applyFont="1" applyBorder="1" applyAlignment="1">
      <alignment vertical="center" wrapText="1"/>
    </xf>
    <xf numFmtId="167" fontId="11" fillId="0" borderId="9" xfId="0" applyNumberFormat="1" applyFont="1" applyBorder="1" applyAlignment="1">
      <alignment vertical="center" wrapText="1"/>
    </xf>
    <xf numFmtId="167" fontId="11" fillId="0" borderId="33" xfId="0" applyNumberFormat="1" applyFont="1" applyBorder="1" applyAlignment="1">
      <alignment vertical="center" wrapText="1"/>
    </xf>
    <xf numFmtId="167" fontId="0" fillId="0" borderId="0" xfId="0" applyNumberFormat="1" applyAlignment="1">
      <alignment vertical="center"/>
    </xf>
    <xf numFmtId="167" fontId="11" fillId="0" borderId="11" xfId="0" applyNumberFormat="1" applyFont="1" applyBorder="1" applyAlignment="1">
      <alignment vertical="center" wrapText="1"/>
    </xf>
    <xf numFmtId="167" fontId="11" fillId="0" borderId="34" xfId="0" applyNumberFormat="1" applyFont="1" applyBorder="1" applyAlignment="1">
      <alignment vertical="center" wrapText="1"/>
    </xf>
    <xf numFmtId="167" fontId="11" fillId="0" borderId="35" xfId="0" applyNumberFormat="1" applyFont="1" applyBorder="1" applyAlignment="1">
      <alignment vertical="center" wrapText="1"/>
    </xf>
    <xf numFmtId="167" fontId="11" fillId="0" borderId="12" xfId="0" applyNumberFormat="1" applyFont="1" applyBorder="1" applyAlignment="1">
      <alignment vertical="center" wrapText="1"/>
    </xf>
    <xf numFmtId="167" fontId="11" fillId="0" borderId="36" xfId="0" applyNumberFormat="1" applyFont="1" applyBorder="1" applyAlignment="1">
      <alignment vertical="center" wrapText="1"/>
    </xf>
    <xf numFmtId="167" fontId="11" fillId="0" borderId="37" xfId="0" applyNumberFormat="1" applyFont="1" applyBorder="1" applyAlignment="1">
      <alignment vertical="center" wrapText="1"/>
    </xf>
    <xf numFmtId="3" fontId="11" fillId="0" borderId="11" xfId="0" applyNumberFormat="1" applyFont="1" applyBorder="1" applyAlignment="1">
      <alignment vertical="center" wrapText="1"/>
    </xf>
    <xf numFmtId="167" fontId="7" fillId="0" borderId="37" xfId="0" applyNumberFormat="1" applyFont="1" applyBorder="1" applyAlignment="1">
      <alignment vertical="center" wrapText="1"/>
    </xf>
    <xf numFmtId="167" fontId="7" fillId="0" borderId="38" xfId="0" applyNumberFormat="1" applyFont="1" applyBorder="1" applyAlignment="1">
      <alignment vertical="center" wrapText="1"/>
    </xf>
    <xf numFmtId="167" fontId="7" fillId="0" borderId="39" xfId="0" applyNumberFormat="1" applyFont="1" applyBorder="1" applyAlignment="1">
      <alignment vertical="center" wrapText="1"/>
    </xf>
    <xf numFmtId="167" fontId="7" fillId="0" borderId="40" xfId="0" applyNumberFormat="1" applyFont="1" applyBorder="1" applyAlignment="1">
      <alignment vertical="center" wrapText="1"/>
    </xf>
    <xf numFmtId="3" fontId="11" fillId="0" borderId="41" xfId="0" applyNumberFormat="1" applyFont="1" applyBorder="1" applyAlignment="1">
      <alignment vertical="center" wrapText="1"/>
    </xf>
    <xf numFmtId="167" fontId="11" fillId="0" borderId="42" xfId="0" applyNumberFormat="1" applyFont="1" applyBorder="1" applyAlignment="1">
      <alignment vertical="center" wrapText="1"/>
    </xf>
    <xf numFmtId="167" fontId="11" fillId="0" borderId="43" xfId="0" applyNumberFormat="1" applyFont="1" applyBorder="1" applyAlignment="1">
      <alignment vertical="center" wrapText="1"/>
    </xf>
    <xf numFmtId="3" fontId="11" fillId="0" borderId="43" xfId="0" applyNumberFormat="1" applyFont="1" applyBorder="1" applyAlignment="1">
      <alignment vertical="center" wrapText="1"/>
    </xf>
    <xf numFmtId="3" fontId="0" fillId="0" borderId="0" xfId="0" applyNumberFormat="1" applyAlignment="1">
      <alignment vertical="center"/>
    </xf>
    <xf numFmtId="167" fontId="7" fillId="0" borderId="16" xfId="0" applyNumberFormat="1" applyFont="1" applyBorder="1" applyAlignment="1">
      <alignment vertical="center" wrapText="1"/>
    </xf>
    <xf numFmtId="167" fontId="7" fillId="0" borderId="44" xfId="0" applyNumberFormat="1" applyFont="1" applyBorder="1" applyAlignment="1">
      <alignment vertical="center" wrapText="1"/>
    </xf>
    <xf numFmtId="167" fontId="7" fillId="0" borderId="45" xfId="0" applyNumberFormat="1" applyFont="1" applyBorder="1" applyAlignment="1">
      <alignment vertical="center" wrapText="1"/>
    </xf>
    <xf numFmtId="167" fontId="7" fillId="0" borderId="17" xfId="0" applyNumberFormat="1" applyFont="1" applyBorder="1" applyAlignment="1">
      <alignment vertical="center" wrapText="1"/>
    </xf>
    <xf numFmtId="167" fontId="7" fillId="0" borderId="46" xfId="0" applyNumberFormat="1" applyFont="1" applyBorder="1" applyAlignment="1">
      <alignment vertical="center" wrapText="1"/>
    </xf>
    <xf numFmtId="167" fontId="7" fillId="0" borderId="5" xfId="0" applyNumberFormat="1" applyFont="1" applyBorder="1" applyAlignment="1">
      <alignment vertical="center" wrapText="1"/>
    </xf>
    <xf numFmtId="167" fontId="11" fillId="0" borderId="47" xfId="0" applyNumberFormat="1" applyFont="1" applyBorder="1" applyAlignment="1">
      <alignment vertical="center" wrapText="1"/>
    </xf>
    <xf numFmtId="3" fontId="11" fillId="0" borderId="35" xfId="0" applyNumberFormat="1" applyFont="1" applyBorder="1" applyAlignment="1">
      <alignment vertical="center" wrapText="1"/>
    </xf>
    <xf numFmtId="167" fontId="11" fillId="0" borderId="48" xfId="0" applyNumberFormat="1" applyFont="1" applyBorder="1" applyAlignment="1">
      <alignment vertical="center" wrapText="1"/>
    </xf>
    <xf numFmtId="0" fontId="24" fillId="0" borderId="20" xfId="0" applyFont="1" applyBorder="1" applyAlignment="1" applyProtection="1">
      <alignment horizontal="center" vertical="center"/>
      <protection locked="0"/>
    </xf>
    <xf numFmtId="167" fontId="26" fillId="0" borderId="0" xfId="0" applyNumberFormat="1" applyFont="1" applyAlignment="1">
      <alignment vertical="center" wrapText="1"/>
    </xf>
    <xf numFmtId="0" fontId="27" fillId="0" borderId="0" xfId="0" applyFont="1" applyAlignment="1">
      <alignment vertical="center"/>
    </xf>
    <xf numFmtId="167" fontId="27" fillId="0" borderId="0" xfId="0" applyNumberFormat="1" applyFont="1" applyAlignment="1">
      <alignment vertical="center"/>
    </xf>
    <xf numFmtId="167" fontId="7" fillId="0" borderId="42" xfId="0" applyNumberFormat="1" applyFont="1" applyBorder="1" applyAlignment="1">
      <alignment vertical="center" wrapText="1"/>
    </xf>
    <xf numFmtId="167" fontId="7" fillId="0" borderId="33" xfId="0" applyNumberFormat="1" applyFont="1" applyBorder="1" applyAlignment="1">
      <alignment vertical="center" wrapText="1"/>
    </xf>
    <xf numFmtId="167" fontId="7" fillId="0" borderId="51" xfId="0" applyNumberFormat="1" applyFont="1" applyBorder="1" applyAlignment="1">
      <alignment vertical="center" wrapText="1"/>
    </xf>
    <xf numFmtId="167" fontId="11" fillId="0" borderId="52" xfId="0" applyNumberFormat="1" applyFont="1" applyBorder="1" applyAlignment="1">
      <alignment vertical="center" wrapText="1"/>
    </xf>
    <xf numFmtId="167" fontId="7" fillId="0" borderId="53" xfId="0" applyNumberFormat="1" applyFont="1" applyBorder="1" applyAlignment="1">
      <alignment vertical="center" wrapText="1"/>
    </xf>
    <xf numFmtId="167" fontId="11" fillId="0" borderId="54" xfId="0" applyNumberFormat="1" applyFont="1" applyBorder="1" applyAlignment="1">
      <alignment vertical="center" wrapText="1"/>
    </xf>
    <xf numFmtId="167" fontId="7" fillId="0" borderId="8" xfId="0" applyNumberFormat="1" applyFont="1" applyBorder="1" applyAlignment="1">
      <alignment vertical="center" wrapText="1"/>
    </xf>
    <xf numFmtId="167" fontId="7" fillId="0" borderId="9" xfId="0" applyNumberFormat="1" applyFont="1" applyBorder="1" applyAlignment="1">
      <alignment vertical="center" wrapText="1"/>
    </xf>
    <xf numFmtId="167" fontId="7" fillId="0" borderId="11" xfId="0" applyNumberFormat="1" applyFont="1" applyBorder="1" applyAlignment="1">
      <alignment vertical="center" wrapText="1"/>
    </xf>
    <xf numFmtId="167" fontId="7" fillId="0" borderId="12" xfId="0" applyNumberFormat="1" applyFont="1" applyBorder="1" applyAlignment="1">
      <alignment vertical="center" wrapText="1"/>
    </xf>
    <xf numFmtId="167" fontId="7" fillId="0" borderId="55" xfId="0" applyNumberFormat="1" applyFont="1" applyBorder="1" applyAlignment="1">
      <alignment vertical="center" wrapText="1"/>
    </xf>
    <xf numFmtId="167" fontId="11" fillId="4" borderId="8" xfId="0" applyNumberFormat="1" applyFont="1" applyFill="1" applyBorder="1" applyAlignment="1">
      <alignment vertical="center" wrapText="1"/>
    </xf>
    <xf numFmtId="3" fontId="7" fillId="4" borderId="8" xfId="0" applyNumberFormat="1" applyFont="1" applyFill="1" applyBorder="1" applyAlignment="1">
      <alignment horizontal="center" vertical="center" wrapText="1"/>
    </xf>
    <xf numFmtId="3" fontId="7" fillId="10" borderId="8" xfId="0" applyNumberFormat="1" applyFont="1" applyFill="1" applyBorder="1" applyAlignment="1">
      <alignment horizontal="center" vertical="center" wrapText="1"/>
    </xf>
    <xf numFmtId="3" fontId="7" fillId="4" borderId="9" xfId="0" applyNumberFormat="1" applyFont="1" applyFill="1" applyBorder="1" applyAlignment="1">
      <alignment horizontal="center" vertical="center" wrapText="1"/>
    </xf>
    <xf numFmtId="167" fontId="11" fillId="4" borderId="11" xfId="0" applyNumberFormat="1" applyFont="1" applyFill="1" applyBorder="1" applyAlignment="1">
      <alignment vertical="center" wrapText="1"/>
    </xf>
    <xf numFmtId="3" fontId="7" fillId="4" borderId="11" xfId="0" applyNumberFormat="1" applyFont="1" applyFill="1" applyBorder="1" applyAlignment="1">
      <alignment horizontal="center" vertical="center" wrapText="1"/>
    </xf>
    <xf numFmtId="3" fontId="7" fillId="10" borderId="11" xfId="0" applyNumberFormat="1" applyFont="1" applyFill="1" applyBorder="1" applyAlignment="1">
      <alignment horizontal="center" vertical="center" wrapText="1"/>
    </xf>
    <xf numFmtId="3" fontId="7" fillId="4" borderId="12" xfId="0" applyNumberFormat="1" applyFont="1" applyFill="1" applyBorder="1" applyAlignment="1">
      <alignment horizontal="center" vertical="center" wrapText="1"/>
    </xf>
    <xf numFmtId="167" fontId="7" fillId="4" borderId="16" xfId="0" applyNumberFormat="1" applyFont="1" applyFill="1" applyBorder="1" applyAlignment="1">
      <alignment vertical="center" wrapText="1"/>
    </xf>
    <xf numFmtId="3" fontId="7" fillId="4" borderId="16" xfId="0" applyNumberFormat="1" applyFont="1" applyFill="1" applyBorder="1" applyAlignment="1">
      <alignment horizontal="center" vertical="center" wrapText="1"/>
    </xf>
    <xf numFmtId="3" fontId="7" fillId="10" borderId="16" xfId="0" applyNumberFormat="1" applyFont="1" applyFill="1" applyBorder="1" applyAlignment="1">
      <alignment horizontal="center" vertical="center" wrapText="1"/>
    </xf>
    <xf numFmtId="3" fontId="7" fillId="4" borderId="17" xfId="0" applyNumberFormat="1" applyFont="1" applyFill="1" applyBorder="1" applyAlignment="1">
      <alignment horizontal="center" vertical="center" wrapText="1"/>
    </xf>
    <xf numFmtId="0" fontId="0" fillId="0" borderId="30" xfId="0" applyBorder="1" applyAlignment="1">
      <alignment vertical="center"/>
    </xf>
    <xf numFmtId="49" fontId="0" fillId="0" borderId="0" xfId="0" applyNumberFormat="1" applyAlignment="1">
      <alignment vertical="center"/>
    </xf>
    <xf numFmtId="167" fontId="28" fillId="0" borderId="0" xfId="0" applyNumberFormat="1" applyFont="1" applyAlignment="1">
      <alignment vertical="center"/>
    </xf>
    <xf numFmtId="49" fontId="29" fillId="0" borderId="2" xfId="0" applyNumberFormat="1" applyFont="1" applyBorder="1" applyAlignment="1">
      <alignment horizontal="center" vertical="center"/>
    </xf>
    <xf numFmtId="0" fontId="11" fillId="0" borderId="4" xfId="0" applyFont="1" applyBorder="1" applyAlignment="1">
      <alignment vertical="center"/>
    </xf>
    <xf numFmtId="49" fontId="11" fillId="0" borderId="4" xfId="0" applyNumberFormat="1" applyFont="1" applyBorder="1" applyAlignment="1">
      <alignment vertical="center"/>
    </xf>
    <xf numFmtId="49" fontId="11" fillId="0" borderId="22" xfId="0" applyNumberFormat="1" applyFont="1" applyBorder="1" applyAlignment="1">
      <alignment vertical="center"/>
    </xf>
    <xf numFmtId="49" fontId="29" fillId="0" borderId="1" xfId="0" applyNumberFormat="1" applyFont="1" applyBorder="1" applyAlignment="1">
      <alignment horizontal="center" vertical="center"/>
    </xf>
    <xf numFmtId="0" fontId="11" fillId="0" borderId="29" xfId="0" applyFont="1" applyBorder="1" applyAlignment="1">
      <alignment vertical="center"/>
    </xf>
    <xf numFmtId="49" fontId="11" fillId="0" borderId="29" xfId="0" applyNumberFormat="1" applyFont="1" applyBorder="1" applyAlignment="1">
      <alignment vertical="center"/>
    </xf>
    <xf numFmtId="49" fontId="11" fillId="0" borderId="30" xfId="0" applyNumberFormat="1" applyFont="1" applyBorder="1" applyAlignment="1">
      <alignment vertical="center"/>
    </xf>
    <xf numFmtId="49" fontId="11" fillId="0" borderId="0" xfId="0" applyNumberFormat="1" applyFont="1" applyAlignment="1">
      <alignment vertical="center"/>
    </xf>
    <xf numFmtId="167" fontId="11" fillId="0" borderId="0" xfId="0" applyNumberFormat="1" applyFont="1" applyAlignment="1">
      <alignment vertical="center"/>
    </xf>
    <xf numFmtId="3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49" fontId="11" fillId="0" borderId="5" xfId="0" applyNumberFormat="1" applyFont="1" applyBorder="1" applyAlignment="1">
      <alignment vertical="center"/>
    </xf>
    <xf numFmtId="0" fontId="0" fillId="0" borderId="11" xfId="0" applyBorder="1" applyAlignment="1">
      <alignment vertical="center"/>
    </xf>
    <xf numFmtId="169" fontId="0" fillId="0" borderId="11" xfId="0" applyNumberFormat="1" applyBorder="1" applyAlignment="1">
      <alignment vertical="center"/>
    </xf>
    <xf numFmtId="49" fontId="7" fillId="0" borderId="29" xfId="0" applyNumberFormat="1" applyFont="1" applyBorder="1" applyAlignment="1">
      <alignment vertical="center"/>
    </xf>
    <xf numFmtId="167" fontId="11" fillId="0" borderId="29" xfId="0" applyNumberFormat="1" applyFont="1" applyBorder="1" applyAlignment="1">
      <alignment vertical="center"/>
    </xf>
    <xf numFmtId="3" fontId="11" fillId="0" borderId="29" xfId="0" applyNumberFormat="1" applyFont="1" applyBorder="1" applyAlignment="1">
      <alignment vertical="center"/>
    </xf>
    <xf numFmtId="3" fontId="8" fillId="0" borderId="31" xfId="0" applyNumberFormat="1" applyFont="1" applyBorder="1" applyAlignment="1">
      <alignment vertical="center" wrapText="1"/>
    </xf>
    <xf numFmtId="49" fontId="29" fillId="0" borderId="31" xfId="0" applyNumberFormat="1" applyFont="1" applyBorder="1" applyAlignment="1">
      <alignment vertical="center"/>
    </xf>
    <xf numFmtId="49" fontId="11" fillId="0" borderId="31" xfId="0" applyNumberFormat="1" applyFont="1" applyBorder="1" applyAlignment="1">
      <alignment vertical="center"/>
    </xf>
    <xf numFmtId="0" fontId="11" fillId="0" borderId="31" xfId="0" applyFont="1" applyBorder="1" applyAlignment="1">
      <alignment vertical="center"/>
    </xf>
    <xf numFmtId="49" fontId="11" fillId="0" borderId="2" xfId="0" applyNumberFormat="1" applyFont="1" applyBorder="1" applyAlignment="1">
      <alignment vertical="center"/>
    </xf>
    <xf numFmtId="3" fontId="11" fillId="0" borderId="0" xfId="0" applyNumberFormat="1" applyFont="1" applyAlignment="1">
      <alignment vertical="center" wrapText="1"/>
    </xf>
    <xf numFmtId="0" fontId="13" fillId="0" borderId="1" xfId="0" applyFont="1" applyBorder="1" applyAlignment="1">
      <alignment horizontal="left" vertical="center" wrapText="1"/>
    </xf>
    <xf numFmtId="3" fontId="8" fillId="0" borderId="1" xfId="0" applyNumberFormat="1" applyFont="1" applyBorder="1" applyAlignment="1">
      <alignment horizontal="left" vertical="center" wrapText="1"/>
    </xf>
    <xf numFmtId="3" fontId="12" fillId="5" borderId="24" xfId="0" applyNumberFormat="1" applyFont="1" applyFill="1" applyBorder="1" applyAlignment="1">
      <alignment horizontal="left" vertical="center" wrapText="1"/>
    </xf>
    <xf numFmtId="3" fontId="12" fillId="0" borderId="1" xfId="0" applyNumberFormat="1" applyFont="1" applyBorder="1" applyAlignment="1">
      <alignment horizontal="left" vertical="center" wrapText="1"/>
    </xf>
    <xf numFmtId="3" fontId="12" fillId="0" borderId="26" xfId="0" applyNumberFormat="1" applyFont="1" applyBorder="1" applyAlignment="1">
      <alignment horizontal="left" vertical="center" wrapText="1"/>
    </xf>
    <xf numFmtId="3" fontId="17" fillId="0" borderId="1" xfId="0" applyNumberFormat="1" applyFont="1" applyBorder="1" applyAlignment="1">
      <alignment horizontal="center" vertical="center" wrapText="1"/>
    </xf>
    <xf numFmtId="3" fontId="7" fillId="0" borderId="1" xfId="0" applyNumberFormat="1" applyFont="1" applyBorder="1" applyAlignment="1">
      <alignment horizontal="center" vertical="center" wrapText="1"/>
    </xf>
    <xf numFmtId="167" fontId="7" fillId="0" borderId="1" xfId="0" applyNumberFormat="1" applyFont="1" applyBorder="1" applyAlignment="1">
      <alignment horizontal="center" vertical="center" wrapText="1"/>
    </xf>
    <xf numFmtId="3" fontId="18" fillId="0" borderId="1" xfId="0" applyNumberFormat="1" applyFont="1" applyBorder="1" applyAlignment="1">
      <alignment horizontal="left" vertical="center" wrapText="1"/>
    </xf>
    <xf numFmtId="166" fontId="0" fillId="0" borderId="3" xfId="0" applyNumberFormat="1" applyBorder="1" applyAlignment="1">
      <alignment horizontal="center" vertical="center"/>
    </xf>
    <xf numFmtId="3" fontId="20" fillId="0" borderId="1" xfId="0" applyNumberFormat="1" applyFont="1" applyBorder="1" applyAlignment="1">
      <alignment horizontal="left" vertical="center" wrapText="1"/>
    </xf>
    <xf numFmtId="3" fontId="18" fillId="6" borderId="1" xfId="0" applyNumberFormat="1" applyFont="1" applyFill="1" applyBorder="1" applyAlignment="1">
      <alignment horizontal="left" vertical="center" wrapText="1"/>
    </xf>
    <xf numFmtId="166" fontId="0" fillId="6" borderId="3" xfId="0" applyNumberFormat="1" applyFill="1" applyBorder="1" applyAlignment="1">
      <alignment horizontal="center" vertical="center"/>
    </xf>
    <xf numFmtId="3" fontId="18" fillId="7" borderId="1" xfId="0" applyNumberFormat="1" applyFont="1" applyFill="1" applyBorder="1" applyAlignment="1">
      <alignment horizontal="left" vertical="center" wrapText="1"/>
    </xf>
    <xf numFmtId="166" fontId="0" fillId="7" borderId="1" xfId="0" applyNumberFormat="1" applyFill="1" applyBorder="1" applyAlignment="1">
      <alignment horizontal="center" vertical="center"/>
    </xf>
    <xf numFmtId="166" fontId="0" fillId="6" borderId="1" xfId="0" applyNumberFormat="1" applyFill="1" applyBorder="1" applyAlignment="1">
      <alignment horizontal="center" vertical="center"/>
    </xf>
    <xf numFmtId="3" fontId="21" fillId="7" borderId="1" xfId="0" applyNumberFormat="1" applyFont="1" applyFill="1" applyBorder="1" applyAlignment="1">
      <alignment horizontal="left" vertical="center" wrapText="1"/>
    </xf>
    <xf numFmtId="166" fontId="6" fillId="0" borderId="1" xfId="0" applyNumberFormat="1" applyFont="1" applyBorder="1" applyAlignment="1">
      <alignment horizontal="left" vertical="center"/>
    </xf>
    <xf numFmtId="166" fontId="0" fillId="0" borderId="1" xfId="0" applyNumberFormat="1" applyBorder="1" applyAlignment="1">
      <alignment horizontal="center" vertical="center"/>
    </xf>
    <xf numFmtId="3" fontId="18" fillId="8" borderId="1" xfId="0" applyNumberFormat="1" applyFont="1" applyFill="1" applyBorder="1" applyAlignment="1">
      <alignment horizontal="left" vertical="center" wrapText="1"/>
    </xf>
    <xf numFmtId="166" fontId="0" fillId="8" borderId="1" xfId="0" applyNumberFormat="1" applyFill="1" applyBorder="1" applyAlignment="1">
      <alignment horizontal="center" vertical="center"/>
    </xf>
    <xf numFmtId="3" fontId="11" fillId="8" borderId="1" xfId="0" applyNumberFormat="1" applyFont="1" applyFill="1" applyBorder="1" applyAlignment="1">
      <alignment horizontal="left" vertical="center" wrapText="1"/>
    </xf>
    <xf numFmtId="3" fontId="11" fillId="0" borderId="1" xfId="0" applyNumberFormat="1" applyFont="1" applyBorder="1" applyAlignment="1">
      <alignment horizontal="left" vertical="center" wrapText="1"/>
    </xf>
    <xf numFmtId="3" fontId="20" fillId="8" borderId="1" xfId="0" applyNumberFormat="1" applyFont="1" applyFill="1" applyBorder="1" applyAlignment="1">
      <alignment horizontal="left" vertical="top" wrapText="1"/>
    </xf>
    <xf numFmtId="166" fontId="6" fillId="0" borderId="3" xfId="0" applyNumberFormat="1" applyFont="1" applyBorder="1" applyAlignment="1">
      <alignment horizontal="left" vertical="center"/>
    </xf>
    <xf numFmtId="3" fontId="21" fillId="6" borderId="1" xfId="0" applyNumberFormat="1" applyFont="1" applyFill="1" applyBorder="1" applyAlignment="1">
      <alignment horizontal="left" vertical="center" wrapText="1"/>
    </xf>
    <xf numFmtId="166" fontId="22" fillId="0" borderId="3" xfId="0" applyNumberFormat="1" applyFont="1" applyBorder="1" applyAlignment="1">
      <alignment horizontal="left" vertical="center"/>
    </xf>
    <xf numFmtId="3" fontId="21" fillId="0" borderId="1" xfId="0" applyNumberFormat="1" applyFont="1" applyBorder="1" applyAlignment="1">
      <alignment horizontal="left" vertical="center" wrapText="1"/>
    </xf>
    <xf numFmtId="3" fontId="21" fillId="9" borderId="1" xfId="0" applyNumberFormat="1" applyFont="1" applyFill="1" applyBorder="1" applyAlignment="1">
      <alignment horizontal="left" vertical="center" wrapText="1"/>
    </xf>
    <xf numFmtId="166" fontId="0" fillId="9" borderId="1" xfId="0" applyNumberFormat="1" applyFill="1" applyBorder="1" applyAlignment="1">
      <alignment horizontal="center" vertical="center"/>
    </xf>
    <xf numFmtId="3" fontId="21" fillId="8" borderId="1" xfId="0" applyNumberFormat="1" applyFont="1" applyFill="1" applyBorder="1" applyAlignment="1">
      <alignment horizontal="left" vertical="center" wrapText="1"/>
    </xf>
    <xf numFmtId="3" fontId="5" fillId="4" borderId="1" xfId="0" applyNumberFormat="1" applyFont="1" applyFill="1" applyBorder="1" applyAlignment="1">
      <alignment horizontal="center" vertical="center"/>
    </xf>
    <xf numFmtId="3" fontId="8" fillId="0" borderId="7" xfId="0" applyNumberFormat="1" applyFont="1" applyBorder="1" applyAlignment="1">
      <alignment horizontal="center" vertical="center" wrapText="1"/>
    </xf>
    <xf numFmtId="3" fontId="23" fillId="0" borderId="26" xfId="0" applyNumberFormat="1" applyFont="1" applyBorder="1" applyAlignment="1">
      <alignment horizontal="center" vertical="center" wrapText="1"/>
    </xf>
    <xf numFmtId="3" fontId="8" fillId="0" borderId="14" xfId="0" applyNumberFormat="1" applyFont="1" applyBorder="1" applyAlignment="1">
      <alignment horizontal="center" vertical="center" wrapText="1"/>
    </xf>
    <xf numFmtId="3" fontId="8" fillId="0" borderId="49" xfId="0" applyNumberFormat="1" applyFont="1" applyBorder="1" applyAlignment="1">
      <alignment horizontal="center" vertical="center" wrapText="1"/>
    </xf>
    <xf numFmtId="3" fontId="24" fillId="0" borderId="4" xfId="0" applyNumberFormat="1" applyFont="1" applyBorder="1" applyAlignment="1">
      <alignment horizontal="center" vertical="center" wrapText="1"/>
    </xf>
    <xf numFmtId="3" fontId="25" fillId="0" borderId="2" xfId="0" applyNumberFormat="1" applyFont="1" applyBorder="1" applyAlignment="1">
      <alignment horizontal="left" vertical="center" wrapText="1"/>
    </xf>
    <xf numFmtId="3" fontId="5" fillId="0" borderId="1" xfId="0" applyNumberFormat="1" applyFont="1" applyBorder="1" applyAlignment="1">
      <alignment horizontal="center" vertical="center"/>
    </xf>
    <xf numFmtId="3" fontId="8" fillId="0" borderId="6" xfId="0" applyNumberFormat="1" applyFont="1" applyBorder="1" applyAlignment="1">
      <alignment horizontal="center" vertical="center" wrapText="1"/>
    </xf>
    <xf numFmtId="3" fontId="8" fillId="0" borderId="26" xfId="0" applyNumberFormat="1" applyFont="1" applyBorder="1" applyAlignment="1">
      <alignment horizontal="center" vertical="center" wrapText="1"/>
    </xf>
    <xf numFmtId="3" fontId="8" fillId="0" borderId="50" xfId="0" applyNumberFormat="1" applyFont="1" applyBorder="1" applyAlignment="1">
      <alignment horizontal="center" vertical="center" wrapText="1"/>
    </xf>
    <xf numFmtId="3" fontId="7" fillId="4" borderId="26" xfId="0" applyNumberFormat="1" applyFont="1" applyFill="1" applyBorder="1" applyAlignment="1">
      <alignment horizontal="center" vertical="center" wrapText="1"/>
    </xf>
    <xf numFmtId="0" fontId="29" fillId="0" borderId="2" xfId="0" applyFont="1" applyBorder="1" applyAlignment="1">
      <alignment horizontal="center" vertical="center"/>
    </xf>
    <xf numFmtId="3" fontId="8" fillId="0" borderId="31" xfId="0" applyNumberFormat="1" applyFont="1" applyBorder="1" applyAlignment="1">
      <alignment horizontal="center" vertical="center" wrapText="1"/>
    </xf>
    <xf numFmtId="3" fontId="8" fillId="0" borderId="31" xfId="0" applyNumberFormat="1" applyFont="1" applyBorder="1" applyAlignment="1">
      <alignment horizontal="left" vertical="center" wrapText="1"/>
    </xf>
    <xf numFmtId="49" fontId="29" fillId="0" borderId="2" xfId="0" applyNumberFormat="1" applyFont="1" applyBorder="1" applyAlignment="1">
      <alignment horizontal="center" vertical="center"/>
    </xf>
    <xf numFmtId="3" fontId="8" fillId="0" borderId="29" xfId="0" applyNumberFormat="1" applyFont="1" applyBorder="1" applyAlignment="1">
      <alignment horizontal="center" vertical="center" wrapText="1"/>
    </xf>
    <xf numFmtId="49" fontId="29" fillId="0" borderId="29" xfId="0" applyNumberFormat="1" applyFont="1" applyBorder="1" applyAlignment="1">
      <alignment horizontal="center" vertical="center"/>
    </xf>
  </cellXfs>
  <cellStyles count="5">
    <cellStyle name="Comma 2" xfId="2" xr:uid="{00000000-0005-0000-0000-000006000000}"/>
    <cellStyle name="Comma 3 2 2 2" xfId="3" xr:uid="{00000000-0005-0000-0000-000007000000}"/>
    <cellStyle name="Normal" xfId="0" builtinId="0"/>
    <cellStyle name="Normal 2" xfId="4" xr:uid="{00000000-0005-0000-0000-000008000000}"/>
    <cellStyle name="Pourcentage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DEEBF7"/>
      <rgbColor rgb="FF660066"/>
      <rgbColor rgb="FFFF8080"/>
      <rgbColor rgb="FF0070C0"/>
      <rgbColor rgb="FFD0CE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CFFCC"/>
      <rgbColor rgb="FFFFFF99"/>
      <rgbColor rgb="FFBFBFBF"/>
      <rgbColor rgb="FFFF99CC"/>
      <rgbColor rgb="FFCC99FF"/>
      <rgbColor rgb="FFD9D9D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4"/>
  <sheetViews>
    <sheetView tabSelected="1" topLeftCell="A181" zoomScaleNormal="100" workbookViewId="0">
      <selection activeCell="G8" sqref="G8"/>
    </sheetView>
  </sheetViews>
  <sheetFormatPr baseColWidth="10" defaultColWidth="9.140625" defaultRowHeight="12.75"/>
  <cols>
    <col min="1" max="1" width="12.5703125" style="15" customWidth="1"/>
    <col min="2" max="2" width="13.140625" style="15" customWidth="1"/>
    <col min="3" max="3" width="22" style="15" customWidth="1"/>
    <col min="4" max="4" width="14" style="15" customWidth="1"/>
    <col min="5" max="6" width="12.7109375" style="15" customWidth="1"/>
    <col min="7" max="7" width="13.42578125" style="15" customWidth="1"/>
    <col min="8" max="8" width="12.7109375" style="15" customWidth="1"/>
    <col min="9" max="9" width="18" style="15" hidden="1" customWidth="1"/>
    <col min="10" max="10" width="14.42578125" style="15" customWidth="1"/>
    <col min="11" max="11" width="11.42578125" style="15" hidden="1" customWidth="1"/>
    <col min="12" max="12" width="9.140625" style="15"/>
    <col min="13" max="13" width="10.28515625" style="15" customWidth="1"/>
    <col min="14" max="14" width="13.42578125" style="15" customWidth="1"/>
    <col min="15" max="16384" width="9.140625" style="15"/>
  </cols>
  <sheetData>
    <row r="1" spans="1:11" ht="43.5" customHeight="1">
      <c r="A1" s="16" t="s">
        <v>0</v>
      </c>
      <c r="B1" s="14" t="s">
        <v>1</v>
      </c>
      <c r="C1" s="14"/>
      <c r="D1" s="14"/>
      <c r="E1" s="14"/>
      <c r="F1" s="14"/>
      <c r="G1" s="13" t="s">
        <v>167</v>
      </c>
      <c r="H1" s="13"/>
      <c r="I1" s="13"/>
      <c r="J1" s="13"/>
      <c r="K1" s="17" t="s">
        <v>3</v>
      </c>
    </row>
    <row r="2" spans="1:11" ht="10.5" customHeight="1">
      <c r="A2" s="12" t="s">
        <v>4</v>
      </c>
      <c r="B2" s="12"/>
      <c r="C2" s="12"/>
      <c r="D2" s="12"/>
      <c r="E2" s="12"/>
      <c r="F2" s="12"/>
      <c r="G2" s="12"/>
      <c r="H2" s="18"/>
      <c r="I2" s="19" t="s">
        <v>5</v>
      </c>
      <c r="J2" s="20"/>
    </row>
    <row r="3" spans="1:11" ht="13.5" customHeight="1">
      <c r="A3" s="11" t="s">
        <v>6</v>
      </c>
      <c r="B3" s="11"/>
      <c r="C3" s="11"/>
      <c r="D3" s="11"/>
      <c r="E3" s="11"/>
      <c r="F3" s="11"/>
      <c r="G3" s="11"/>
      <c r="H3" s="21"/>
      <c r="I3" s="19"/>
      <c r="J3" s="20"/>
    </row>
    <row r="4" spans="1:11" ht="12.75" customHeight="1">
      <c r="A4" s="10" t="s">
        <v>7</v>
      </c>
      <c r="B4" s="10"/>
      <c r="C4" s="10"/>
      <c r="D4" s="22" t="s">
        <v>8</v>
      </c>
      <c r="E4" s="22" t="s">
        <v>9</v>
      </c>
      <c r="F4" s="22" t="s">
        <v>10</v>
      </c>
      <c r="G4" s="23" t="s">
        <v>11</v>
      </c>
      <c r="H4" s="24"/>
      <c r="I4" s="19"/>
      <c r="J4" s="20"/>
    </row>
    <row r="5" spans="1:11" ht="14.25" hidden="1" customHeight="1">
      <c r="A5" s="9" t="s">
        <v>12</v>
      </c>
      <c r="B5" s="9"/>
      <c r="C5" s="9"/>
      <c r="D5" s="25"/>
      <c r="E5" s="25"/>
      <c r="F5" s="25"/>
      <c r="G5" s="26"/>
      <c r="H5" s="27"/>
      <c r="I5" s="19"/>
      <c r="J5" s="20"/>
    </row>
    <row r="6" spans="1:11" ht="12" customHeight="1">
      <c r="A6" s="9" t="s">
        <v>12</v>
      </c>
      <c r="B6" s="9"/>
      <c r="C6" s="9"/>
      <c r="D6" s="25"/>
      <c r="E6" s="25"/>
      <c r="F6" s="25"/>
      <c r="G6" s="26"/>
      <c r="H6" s="8"/>
      <c r="I6" s="8"/>
      <c r="J6" s="8"/>
    </row>
    <row r="7" spans="1:11" ht="13.5" hidden="1" customHeight="1">
      <c r="A7" s="9" t="s">
        <v>13</v>
      </c>
      <c r="B7" s="9"/>
      <c r="C7" s="9"/>
      <c r="D7" s="25"/>
      <c r="E7" s="25"/>
      <c r="F7" s="25"/>
      <c r="G7" s="26"/>
      <c r="H7" s="28"/>
      <c r="I7" s="19"/>
      <c r="J7" s="20"/>
    </row>
    <row r="8" spans="1:11" ht="12.75" customHeight="1">
      <c r="A8" s="9" t="s">
        <v>14</v>
      </c>
      <c r="B8" s="9"/>
      <c r="C8" s="9"/>
      <c r="D8" s="29"/>
      <c r="E8" s="29"/>
      <c r="F8" s="29"/>
      <c r="G8" s="30"/>
      <c r="H8" s="19"/>
      <c r="I8" s="19"/>
      <c r="J8" s="20"/>
    </row>
    <row r="9" spans="1:11" ht="9.75" customHeight="1">
      <c r="A9" s="7" t="s">
        <v>15</v>
      </c>
      <c r="B9" s="7"/>
      <c r="C9" s="7"/>
      <c r="D9" s="6"/>
      <c r="E9" s="6"/>
      <c r="F9" s="6"/>
      <c r="G9" s="5"/>
      <c r="H9" s="31"/>
      <c r="I9" s="19"/>
      <c r="J9" s="20"/>
    </row>
    <row r="10" spans="1:11" ht="11.25" customHeight="1">
      <c r="A10" s="4" t="s">
        <v>16</v>
      </c>
      <c r="B10" s="4"/>
      <c r="C10" s="4"/>
      <c r="D10" s="6"/>
      <c r="E10" s="6"/>
      <c r="F10" s="6"/>
      <c r="G10" s="5"/>
      <c r="H10" s="31"/>
      <c r="I10" s="19"/>
      <c r="J10" s="20"/>
    </row>
    <row r="11" spans="1:11" ht="12" customHeight="1">
      <c r="A11" s="3" t="s">
        <v>17</v>
      </c>
      <c r="B11" s="3"/>
      <c r="C11" s="3"/>
      <c r="D11" s="32" t="e">
        <f>(D5+D7+D6)/(D9)*30</f>
        <v>#DIV/0!</v>
      </c>
      <c r="E11" s="32" t="e">
        <f>(E5+E7+E6)/(E9)*30</f>
        <v>#DIV/0!</v>
      </c>
      <c r="F11" s="32" t="e">
        <f>(F5+F7+F6)/(F9)*30</f>
        <v>#DIV/0!</v>
      </c>
      <c r="G11" s="33" t="e">
        <f>(G7+G5+G6)/(G9)*30</f>
        <v>#DIV/0!</v>
      </c>
      <c r="H11" s="31"/>
      <c r="I11" s="19"/>
      <c r="J11" s="20"/>
    </row>
    <row r="12" spans="1:11" ht="12" customHeight="1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1" ht="12" customHeight="1">
      <c r="A13" s="1" t="s">
        <v>18</v>
      </c>
      <c r="B13" s="1"/>
      <c r="C13" s="1"/>
      <c r="D13" s="1"/>
      <c r="E13" s="1"/>
      <c r="F13" s="1"/>
      <c r="G13" s="1"/>
      <c r="H13" s="34"/>
      <c r="I13" s="35"/>
      <c r="J13" s="36"/>
    </row>
    <row r="14" spans="1:11" ht="12" customHeight="1">
      <c r="A14" s="208" t="s">
        <v>19</v>
      </c>
      <c r="B14" s="208"/>
      <c r="C14" s="208"/>
      <c r="D14" s="37" t="s">
        <v>8</v>
      </c>
      <c r="E14" s="38" t="s">
        <v>20</v>
      </c>
      <c r="F14" s="39" t="s">
        <v>10</v>
      </c>
      <c r="G14" s="39" t="s">
        <v>11</v>
      </c>
      <c r="H14" s="24"/>
      <c r="I14" s="35"/>
      <c r="J14" s="36"/>
    </row>
    <row r="15" spans="1:11" ht="14.25" customHeight="1">
      <c r="A15" s="209" t="s">
        <v>21</v>
      </c>
      <c r="B15" s="209"/>
      <c r="C15" s="209"/>
      <c r="D15" s="40">
        <f>J55+J54</f>
        <v>0</v>
      </c>
      <c r="E15" s="41">
        <f>+J55+J56</f>
        <v>0</v>
      </c>
      <c r="F15" s="41"/>
      <c r="G15" s="41">
        <f>+J89</f>
        <v>0</v>
      </c>
      <c r="H15" s="24"/>
      <c r="I15" s="35"/>
      <c r="J15" s="42"/>
    </row>
    <row r="16" spans="1:11" ht="14.25" customHeight="1">
      <c r="A16" s="209" t="s">
        <v>22</v>
      </c>
      <c r="B16" s="209"/>
      <c r="C16" s="209"/>
      <c r="D16" s="43"/>
      <c r="E16" s="43"/>
      <c r="F16" s="43"/>
      <c r="G16" s="43"/>
      <c r="H16" s="24"/>
      <c r="I16" s="35"/>
      <c r="J16" s="44"/>
    </row>
    <row r="17" spans="1:10" ht="14.25" customHeight="1">
      <c r="A17" s="209" t="s">
        <v>23</v>
      </c>
      <c r="B17" s="209"/>
      <c r="C17" s="209"/>
      <c r="D17" s="43">
        <f>+J47</f>
        <v>0</v>
      </c>
      <c r="E17" s="43">
        <f>+J65+J57</f>
        <v>0</v>
      </c>
      <c r="F17" s="43">
        <f>+J74</f>
        <v>0</v>
      </c>
      <c r="G17" s="43">
        <f>+J90</f>
        <v>0</v>
      </c>
      <c r="H17" s="24"/>
      <c r="I17" s="35"/>
      <c r="J17" s="44"/>
    </row>
    <row r="18" spans="1:10" ht="13.5" customHeight="1">
      <c r="A18" s="209" t="s">
        <v>24</v>
      </c>
      <c r="B18" s="209"/>
      <c r="C18" s="209"/>
      <c r="D18" s="43">
        <f>SUM(D15:D17)</f>
        <v>0</v>
      </c>
      <c r="E18" s="43">
        <f>+J66-J55-J56-J57</f>
        <v>0</v>
      </c>
      <c r="F18" s="43">
        <f>+J75-J74</f>
        <v>0</v>
      </c>
      <c r="G18" s="43">
        <f>+J92-J89-J90</f>
        <v>0</v>
      </c>
      <c r="H18" s="24"/>
      <c r="I18" s="35"/>
      <c r="J18" s="36"/>
    </row>
    <row r="19" spans="1:10" ht="12.75" hidden="1" customHeight="1">
      <c r="H19" s="24"/>
      <c r="I19" s="35"/>
      <c r="J19" s="44"/>
    </row>
    <row r="20" spans="1:10" ht="15.75" customHeight="1">
      <c r="A20" s="210" t="s">
        <v>25</v>
      </c>
      <c r="B20" s="210"/>
      <c r="C20" s="210"/>
      <c r="D20" s="45">
        <f>SUM(D15:D18)</f>
        <v>0</v>
      </c>
      <c r="E20" s="45">
        <f>SUM(E15:E18)</f>
        <v>0</v>
      </c>
      <c r="F20" s="45">
        <f>SUM(F15:F18)</f>
        <v>0</v>
      </c>
      <c r="G20" s="45">
        <f>SUM(G15:G18)</f>
        <v>0</v>
      </c>
      <c r="H20" s="46"/>
      <c r="I20" s="35"/>
      <c r="J20" s="36"/>
    </row>
    <row r="21" spans="1:10" ht="12.75" customHeight="1">
      <c r="A21" s="211" t="s">
        <v>26</v>
      </c>
      <c r="B21" s="211"/>
      <c r="C21" s="211"/>
      <c r="D21" s="47">
        <v>46171</v>
      </c>
      <c r="E21" s="47">
        <v>46171</v>
      </c>
      <c r="F21" s="47">
        <v>46171</v>
      </c>
      <c r="G21" s="47">
        <v>46171</v>
      </c>
      <c r="H21" s="19"/>
      <c r="I21" s="35"/>
      <c r="J21" s="36"/>
    </row>
    <row r="22" spans="1:10" ht="11.25" customHeight="1">
      <c r="A22" s="212" t="s">
        <v>27</v>
      </c>
      <c r="B22" s="212"/>
      <c r="C22" s="212"/>
      <c r="D22" s="48"/>
      <c r="E22" s="48"/>
      <c r="F22" s="48"/>
      <c r="G22" s="48"/>
      <c r="H22" s="31"/>
      <c r="I22" s="35"/>
      <c r="J22" s="36"/>
    </row>
    <row r="23" spans="1:10" ht="3" customHeight="1">
      <c r="A23" s="35"/>
      <c r="G23" s="36"/>
    </row>
    <row r="24" spans="1:10" ht="8.25" customHeight="1">
      <c r="A24" s="49"/>
      <c r="B24" s="50"/>
      <c r="C24" s="50"/>
      <c r="D24" s="51"/>
      <c r="E24" s="51"/>
      <c r="F24" s="51"/>
      <c r="G24" s="52"/>
      <c r="H24" s="46"/>
      <c r="I24" s="53"/>
      <c r="J24" s="54"/>
    </row>
    <row r="25" spans="1:10" ht="12" customHeight="1">
      <c r="A25" s="212" t="s">
        <v>28</v>
      </c>
      <c r="B25" s="212"/>
      <c r="C25" s="212"/>
      <c r="D25" s="55" t="e">
        <f>+D11+D22</f>
        <v>#DIV/0!</v>
      </c>
      <c r="E25" s="48" t="e">
        <f>+E11+E22</f>
        <v>#DIV/0!</v>
      </c>
      <c r="F25" s="48" t="e">
        <f>+F11+F22</f>
        <v>#DIV/0!</v>
      </c>
      <c r="G25" s="56" t="e">
        <f>+G11+G22</f>
        <v>#DIV/0!</v>
      </c>
      <c r="H25" s="46"/>
      <c r="I25" s="53"/>
      <c r="J25" s="54"/>
    </row>
    <row r="26" spans="1:10" ht="12.75" customHeight="1">
      <c r="A26" s="57"/>
      <c r="B26" s="24"/>
      <c r="C26" s="58"/>
      <c r="D26" s="46"/>
      <c r="E26" s="46"/>
      <c r="F26" s="46"/>
      <c r="G26" s="46"/>
      <c r="H26" s="46"/>
      <c r="I26" s="53"/>
      <c r="J26" s="54"/>
    </row>
    <row r="27" spans="1:10" ht="7.5" hidden="1" customHeight="1">
      <c r="A27" s="57"/>
      <c r="B27" s="24"/>
      <c r="C27" s="58"/>
      <c r="D27" s="46"/>
      <c r="E27" s="46"/>
      <c r="F27" s="46"/>
      <c r="G27" s="46"/>
      <c r="H27" s="46"/>
      <c r="I27" s="53"/>
      <c r="J27" s="54"/>
    </row>
    <row r="28" spans="1:10" ht="15" customHeight="1">
      <c r="A28" s="213"/>
      <c r="B28" s="213"/>
      <c r="C28" s="213"/>
      <c r="D28" s="213"/>
      <c r="E28" s="213"/>
      <c r="F28" s="213"/>
      <c r="G28" s="213"/>
      <c r="H28" s="213"/>
      <c r="I28" s="213"/>
      <c r="J28" s="213"/>
    </row>
    <row r="29" spans="1:10" ht="11.25" customHeight="1">
      <c r="A29" s="59" t="s">
        <v>29</v>
      </c>
      <c r="B29" s="214" t="s">
        <v>30</v>
      </c>
      <c r="C29" s="214"/>
      <c r="D29" s="60" t="s">
        <v>31</v>
      </c>
      <c r="E29" s="61" t="s">
        <v>32</v>
      </c>
      <c r="F29" s="215" t="s">
        <v>33</v>
      </c>
      <c r="G29" s="215"/>
      <c r="H29" s="215"/>
      <c r="I29" s="215"/>
      <c r="J29" s="60" t="s">
        <v>34</v>
      </c>
    </row>
    <row r="30" spans="1:10" ht="13.5" hidden="1" customHeight="1">
      <c r="A30" s="62" t="s">
        <v>8</v>
      </c>
      <c r="B30" s="216" t="s">
        <v>35</v>
      </c>
      <c r="C30" s="216"/>
      <c r="D30" s="63">
        <v>0.748</v>
      </c>
      <c r="E30" s="64" t="s">
        <v>36</v>
      </c>
      <c r="F30" s="217">
        <v>45959</v>
      </c>
      <c r="G30" s="217"/>
      <c r="H30" s="217"/>
      <c r="I30" s="65"/>
      <c r="J30" s="66"/>
    </row>
    <row r="31" spans="1:10" ht="13.5" hidden="1" customHeight="1">
      <c r="A31" s="62" t="s">
        <v>8</v>
      </c>
      <c r="B31" s="216" t="s">
        <v>37</v>
      </c>
      <c r="C31" s="216"/>
      <c r="D31" s="63">
        <v>0.748</v>
      </c>
      <c r="E31" s="67" t="s">
        <v>38</v>
      </c>
      <c r="F31" s="217">
        <v>45953</v>
      </c>
      <c r="G31" s="217"/>
      <c r="H31" s="217"/>
      <c r="I31" s="68"/>
      <c r="J31" s="66"/>
    </row>
    <row r="32" spans="1:10" ht="13.5" hidden="1" customHeight="1">
      <c r="A32" s="62" t="s">
        <v>8</v>
      </c>
      <c r="B32" s="216" t="s">
        <v>39</v>
      </c>
      <c r="C32" s="216"/>
      <c r="D32" s="63">
        <v>0.73629999999999995</v>
      </c>
      <c r="E32" s="69" t="s">
        <v>40</v>
      </c>
      <c r="F32" s="217">
        <v>46119</v>
      </c>
      <c r="G32" s="217"/>
      <c r="H32" s="217"/>
      <c r="I32" s="70"/>
      <c r="J32" s="66"/>
    </row>
    <row r="33" spans="1:10" ht="13.5" hidden="1" customHeight="1">
      <c r="A33" s="62" t="s">
        <v>8</v>
      </c>
      <c r="B33" s="218" t="s">
        <v>41</v>
      </c>
      <c r="C33" s="218"/>
      <c r="D33" s="71"/>
      <c r="E33" s="69"/>
      <c r="F33" s="217">
        <v>46098</v>
      </c>
      <c r="G33" s="217"/>
      <c r="H33" s="217"/>
      <c r="I33" s="70"/>
      <c r="J33" s="72"/>
    </row>
    <row r="34" spans="1:10" ht="13.5" hidden="1" customHeight="1">
      <c r="A34" s="62" t="s">
        <v>8</v>
      </c>
      <c r="B34" s="218" t="s">
        <v>42</v>
      </c>
      <c r="C34" s="218"/>
      <c r="D34" s="71">
        <v>0.73309999999999997</v>
      </c>
      <c r="E34" s="69" t="s">
        <v>43</v>
      </c>
      <c r="F34" s="217">
        <v>46070</v>
      </c>
      <c r="G34" s="217"/>
      <c r="H34" s="217"/>
      <c r="I34" s="70"/>
      <c r="J34" s="72"/>
    </row>
    <row r="35" spans="1:10" ht="13.5" hidden="1" customHeight="1">
      <c r="A35" s="62" t="s">
        <v>8</v>
      </c>
      <c r="B35" s="218" t="s">
        <v>44</v>
      </c>
      <c r="C35" s="218"/>
      <c r="D35" s="71"/>
      <c r="E35" s="69"/>
      <c r="F35" s="217">
        <v>46078</v>
      </c>
      <c r="G35" s="217"/>
      <c r="H35" s="217"/>
      <c r="I35" s="70"/>
      <c r="J35" s="72"/>
    </row>
    <row r="36" spans="1:10" ht="13.5" customHeight="1">
      <c r="A36" s="62" t="s">
        <v>8</v>
      </c>
      <c r="B36" s="218" t="s">
        <v>45</v>
      </c>
      <c r="C36" s="218"/>
      <c r="D36" s="71"/>
      <c r="E36" s="69"/>
      <c r="F36" s="217">
        <v>46064</v>
      </c>
      <c r="G36" s="217"/>
      <c r="H36" s="217"/>
      <c r="I36" s="70"/>
      <c r="J36" s="72"/>
    </row>
    <row r="37" spans="1:10" ht="13.5" customHeight="1">
      <c r="A37" s="62" t="s">
        <v>8</v>
      </c>
      <c r="B37" s="218" t="s">
        <v>45</v>
      </c>
      <c r="C37" s="218"/>
      <c r="D37" s="63"/>
      <c r="E37" s="69"/>
      <c r="F37" s="217">
        <v>46064</v>
      </c>
      <c r="G37" s="217"/>
      <c r="H37" s="217"/>
      <c r="I37" s="70"/>
      <c r="J37" s="72"/>
    </row>
    <row r="38" spans="1:10" ht="13.5" hidden="1" customHeight="1">
      <c r="A38" s="62" t="s">
        <v>8</v>
      </c>
      <c r="B38" s="218" t="s">
        <v>46</v>
      </c>
      <c r="C38" s="218"/>
      <c r="D38" s="71"/>
      <c r="E38" s="69"/>
      <c r="F38" s="217">
        <v>46051</v>
      </c>
      <c r="G38" s="217"/>
      <c r="H38" s="217"/>
      <c r="I38" s="70"/>
      <c r="J38" s="72"/>
    </row>
    <row r="39" spans="1:10" ht="13.5" hidden="1" customHeight="1">
      <c r="A39" s="62" t="s">
        <v>8</v>
      </c>
      <c r="B39" s="218" t="s">
        <v>47</v>
      </c>
      <c r="C39" s="218"/>
      <c r="D39" s="71"/>
      <c r="E39" s="69"/>
      <c r="F39" s="217">
        <v>46182</v>
      </c>
      <c r="G39" s="217"/>
      <c r="H39" s="217"/>
      <c r="I39" s="70"/>
      <c r="J39" s="72"/>
    </row>
    <row r="40" spans="1:10" ht="13.5" hidden="1" customHeight="1">
      <c r="A40" s="62" t="s">
        <v>8</v>
      </c>
      <c r="B40" s="218" t="s">
        <v>47</v>
      </c>
      <c r="C40" s="218"/>
      <c r="D40" s="71"/>
      <c r="E40" s="69"/>
      <c r="F40" s="217">
        <v>46176</v>
      </c>
      <c r="G40" s="217"/>
      <c r="H40" s="217"/>
      <c r="I40" s="70"/>
      <c r="J40" s="72"/>
    </row>
    <row r="41" spans="1:10" ht="13.5" hidden="1" customHeight="1">
      <c r="A41" s="62" t="s">
        <v>8</v>
      </c>
      <c r="B41" s="218" t="s">
        <v>48</v>
      </c>
      <c r="C41" s="218"/>
      <c r="D41" s="71"/>
      <c r="E41" s="69"/>
      <c r="F41" s="217">
        <v>46211</v>
      </c>
      <c r="G41" s="217"/>
      <c r="H41" s="217"/>
      <c r="I41" s="70"/>
      <c r="J41" s="72"/>
    </row>
    <row r="42" spans="1:10" ht="13.5" hidden="1" customHeight="1">
      <c r="A42" s="62" t="s">
        <v>8</v>
      </c>
      <c r="B42" s="216" t="s">
        <v>49</v>
      </c>
      <c r="C42" s="216"/>
      <c r="D42" s="71">
        <v>0.74609999999999999</v>
      </c>
      <c r="E42" s="69" t="s">
        <v>50</v>
      </c>
      <c r="F42" s="217">
        <v>46195</v>
      </c>
      <c r="G42" s="217"/>
      <c r="H42" s="217"/>
      <c r="I42" s="70"/>
      <c r="J42" s="72"/>
    </row>
    <row r="43" spans="1:10" ht="13.5" customHeight="1">
      <c r="A43" s="62" t="s">
        <v>8</v>
      </c>
      <c r="B43" s="216" t="s">
        <v>51</v>
      </c>
      <c r="C43" s="216"/>
      <c r="D43" s="71">
        <v>0.76490000000000002</v>
      </c>
      <c r="E43" s="69" t="s">
        <v>52</v>
      </c>
      <c r="F43" s="217">
        <v>46188</v>
      </c>
      <c r="G43" s="217"/>
      <c r="H43" s="217"/>
      <c r="I43" s="70"/>
      <c r="J43" s="72"/>
    </row>
    <row r="44" spans="1:10" ht="13.5" customHeight="1">
      <c r="A44" s="62" t="s">
        <v>8</v>
      </c>
      <c r="B44" s="219" t="s">
        <v>53</v>
      </c>
      <c r="C44" s="219"/>
      <c r="D44" s="73">
        <v>0.74250000000000005</v>
      </c>
      <c r="E44" s="74" t="s">
        <v>54</v>
      </c>
      <c r="F44" s="220">
        <v>46153</v>
      </c>
      <c r="G44" s="220"/>
      <c r="H44" s="220"/>
      <c r="I44" s="75"/>
      <c r="J44" s="76"/>
    </row>
    <row r="45" spans="1:10" ht="11.25" customHeight="1">
      <c r="A45" s="62" t="s">
        <v>8</v>
      </c>
      <c r="B45" s="221" t="s">
        <v>55</v>
      </c>
      <c r="C45" s="221"/>
      <c r="D45" s="77">
        <v>0.74609999999999999</v>
      </c>
      <c r="E45" s="78" t="s">
        <v>50</v>
      </c>
      <c r="F45" s="222">
        <v>46195</v>
      </c>
      <c r="G45" s="222"/>
      <c r="H45" s="222"/>
      <c r="I45" s="222"/>
      <c r="J45" s="79"/>
    </row>
    <row r="46" spans="1:10" ht="13.5" hidden="1" customHeight="1">
      <c r="A46" s="80" t="s">
        <v>8</v>
      </c>
      <c r="B46" s="219" t="s">
        <v>56</v>
      </c>
      <c r="C46" s="219"/>
      <c r="D46" s="81">
        <v>0.73629999999999995</v>
      </c>
      <c r="E46" s="74" t="s">
        <v>57</v>
      </c>
      <c r="F46" s="223">
        <v>46121</v>
      </c>
      <c r="G46" s="223"/>
      <c r="H46" s="223"/>
      <c r="I46" s="223"/>
      <c r="J46" s="76"/>
    </row>
    <row r="47" spans="1:10" ht="11.25" customHeight="1">
      <c r="A47" s="80" t="s">
        <v>8</v>
      </c>
      <c r="B47" s="224" t="s">
        <v>58</v>
      </c>
      <c r="C47" s="224"/>
      <c r="D47" s="82">
        <v>0.73250000000000004</v>
      </c>
      <c r="E47" s="83" t="s">
        <v>50</v>
      </c>
      <c r="F47" s="222">
        <v>46195</v>
      </c>
      <c r="G47" s="222"/>
      <c r="H47" s="222"/>
      <c r="I47" s="222"/>
      <c r="J47" s="79"/>
    </row>
    <row r="48" spans="1:10" ht="4.5" hidden="1" customHeight="1">
      <c r="A48" s="84"/>
      <c r="B48" s="85"/>
      <c r="C48" s="85"/>
      <c r="D48" s="53"/>
      <c r="F48" s="225" t="s">
        <v>59</v>
      </c>
      <c r="G48" s="225"/>
      <c r="H48" s="225"/>
      <c r="I48" s="225"/>
      <c r="J48" s="86">
        <f>SUM(J30:K47)</f>
        <v>0</v>
      </c>
    </row>
    <row r="49" spans="1:10" ht="13.5" customHeight="1">
      <c r="A49" s="57"/>
      <c r="B49" s="58"/>
      <c r="C49" s="87"/>
      <c r="D49" s="87"/>
      <c r="E49" s="87"/>
      <c r="F49" s="87"/>
      <c r="G49" s="88"/>
      <c r="H49" s="88"/>
      <c r="J49" s="89"/>
    </row>
    <row r="50" spans="1:10" ht="9.75" customHeight="1">
      <c r="A50" s="62" t="s">
        <v>20</v>
      </c>
      <c r="B50" s="218" t="s">
        <v>60</v>
      </c>
      <c r="C50" s="218"/>
      <c r="D50" s="63"/>
      <c r="E50" s="69"/>
      <c r="F50" s="226">
        <v>46205</v>
      </c>
      <c r="G50" s="226"/>
      <c r="H50" s="226"/>
      <c r="I50" s="226"/>
      <c r="J50" s="66"/>
    </row>
    <row r="51" spans="1:10" ht="13.5" customHeight="1">
      <c r="A51" s="62" t="s">
        <v>20</v>
      </c>
      <c r="B51" s="216" t="s">
        <v>61</v>
      </c>
      <c r="C51" s="216"/>
      <c r="D51" s="63">
        <v>0.8236</v>
      </c>
      <c r="E51" s="69" t="s">
        <v>62</v>
      </c>
      <c r="F51" s="226">
        <v>46168</v>
      </c>
      <c r="G51" s="226"/>
      <c r="H51" s="226"/>
      <c r="I51" s="226"/>
      <c r="J51" s="66"/>
    </row>
    <row r="52" spans="1:10" ht="13.5" customHeight="1">
      <c r="A52" s="90" t="s">
        <v>20</v>
      </c>
      <c r="B52" s="227" t="s">
        <v>63</v>
      </c>
      <c r="C52" s="227"/>
      <c r="D52" s="81">
        <v>0.81769999999999998</v>
      </c>
      <c r="E52" s="74" t="s">
        <v>64</v>
      </c>
      <c r="F52" s="223">
        <v>46078</v>
      </c>
      <c r="G52" s="223"/>
      <c r="H52" s="223"/>
      <c r="I52" s="223"/>
      <c r="J52" s="91"/>
    </row>
    <row r="53" spans="1:10" ht="13.5" hidden="1" customHeight="1">
      <c r="A53" s="90" t="s">
        <v>20</v>
      </c>
      <c r="B53" s="227" t="s">
        <v>65</v>
      </c>
      <c r="C53" s="227"/>
      <c r="D53" s="92">
        <v>0.81940000000000002</v>
      </c>
      <c r="E53" s="93" t="s">
        <v>66</v>
      </c>
      <c r="F53" s="228">
        <v>46034</v>
      </c>
      <c r="G53" s="228"/>
      <c r="H53" s="228"/>
      <c r="I53" s="228"/>
      <c r="J53" s="91"/>
    </row>
    <row r="54" spans="1:10" ht="13.5" hidden="1" customHeight="1">
      <c r="A54" s="90" t="s">
        <v>20</v>
      </c>
      <c r="B54" s="221" t="s">
        <v>67</v>
      </c>
      <c r="C54" s="221"/>
      <c r="D54" s="83">
        <v>0.81079999999999997</v>
      </c>
      <c r="E54" s="78" t="s">
        <v>68</v>
      </c>
      <c r="F54" s="222">
        <v>46191</v>
      </c>
      <c r="G54" s="222"/>
      <c r="H54" s="222"/>
      <c r="I54" s="222"/>
      <c r="J54" s="94"/>
    </row>
    <row r="55" spans="1:10" ht="11.25" customHeight="1">
      <c r="A55" s="90" t="s">
        <v>20</v>
      </c>
      <c r="B55" s="229" t="s">
        <v>69</v>
      </c>
      <c r="C55" s="229"/>
      <c r="D55" s="92">
        <v>0.82489999999999997</v>
      </c>
      <c r="E55" s="92" t="s">
        <v>70</v>
      </c>
      <c r="F55" s="228">
        <v>45639</v>
      </c>
      <c r="G55" s="228"/>
      <c r="H55" s="228"/>
      <c r="I55" s="228"/>
      <c r="J55" s="91"/>
    </row>
    <row r="56" spans="1:10" ht="11.25" customHeight="1">
      <c r="A56" s="84"/>
      <c r="B56" s="95"/>
      <c r="C56" s="95"/>
      <c r="D56" s="53"/>
      <c r="E56" s="54"/>
      <c r="F56" s="225" t="s">
        <v>59</v>
      </c>
      <c r="G56" s="225"/>
      <c r="H56" s="225"/>
      <c r="I56" s="225"/>
      <c r="J56" s="96">
        <f>SUM(J50:J55)</f>
        <v>0</v>
      </c>
    </row>
    <row r="57" spans="1:10" ht="11.25" customHeight="1">
      <c r="A57" s="84"/>
      <c r="B57" s="95"/>
      <c r="C57" s="95"/>
      <c r="D57" s="53"/>
      <c r="E57" s="53"/>
      <c r="F57" s="97"/>
      <c r="G57" s="97"/>
      <c r="H57" s="97"/>
      <c r="I57" s="97"/>
      <c r="J57" s="98"/>
    </row>
    <row r="58" spans="1:10" ht="13.5" hidden="1" customHeight="1">
      <c r="A58" s="99" t="s">
        <v>10</v>
      </c>
      <c r="B58" s="230" t="s">
        <v>71</v>
      </c>
      <c r="C58" s="230"/>
      <c r="D58" s="63">
        <v>0.80220000000000002</v>
      </c>
      <c r="E58" s="63" t="s">
        <v>72</v>
      </c>
      <c r="F58" s="226">
        <v>45289</v>
      </c>
      <c r="G58" s="226"/>
      <c r="H58" s="226"/>
      <c r="I58" s="226"/>
      <c r="J58" s="100"/>
    </row>
    <row r="59" spans="1:10" ht="13.5" hidden="1" customHeight="1">
      <c r="A59" s="99" t="s">
        <v>10</v>
      </c>
      <c r="B59" s="216" t="s">
        <v>73</v>
      </c>
      <c r="C59" s="216"/>
      <c r="D59" s="63">
        <v>0.8206</v>
      </c>
      <c r="E59" s="69" t="s">
        <v>74</v>
      </c>
      <c r="F59" s="226">
        <v>46140</v>
      </c>
      <c r="G59" s="226"/>
      <c r="H59" s="226"/>
      <c r="I59" s="226"/>
      <c r="J59" s="100"/>
    </row>
    <row r="60" spans="1:10" ht="13.5" hidden="1" customHeight="1">
      <c r="A60" s="99" t="s">
        <v>10</v>
      </c>
      <c r="B60" s="216" t="s">
        <v>61</v>
      </c>
      <c r="C60" s="216"/>
      <c r="D60" s="63">
        <v>0.8236</v>
      </c>
      <c r="E60" s="69" t="s">
        <v>75</v>
      </c>
      <c r="F60" s="226">
        <v>46168</v>
      </c>
      <c r="G60" s="226"/>
      <c r="H60" s="226"/>
      <c r="I60" s="226"/>
      <c r="J60" s="100"/>
    </row>
    <row r="61" spans="1:10" ht="13.5" hidden="1" customHeight="1">
      <c r="A61" s="99" t="s">
        <v>10</v>
      </c>
      <c r="B61" s="216" t="s">
        <v>76</v>
      </c>
      <c r="C61" s="216"/>
      <c r="D61" s="63">
        <v>0.80959999999999999</v>
      </c>
      <c r="E61" s="69" t="s">
        <v>77</v>
      </c>
      <c r="F61" s="226">
        <v>45992</v>
      </c>
      <c r="G61" s="226"/>
      <c r="H61" s="226"/>
      <c r="I61" s="226"/>
      <c r="J61" s="66"/>
    </row>
    <row r="62" spans="1:10" ht="13.5" hidden="1" customHeight="1">
      <c r="A62" s="99" t="s">
        <v>10</v>
      </c>
      <c r="B62" s="231" t="s">
        <v>78</v>
      </c>
      <c r="C62" s="231"/>
      <c r="D62" s="92">
        <v>0.80730000000000002</v>
      </c>
      <c r="E62" s="101" t="s">
        <v>79</v>
      </c>
      <c r="F62" s="228">
        <v>45495</v>
      </c>
      <c r="G62" s="228"/>
      <c r="H62" s="228"/>
      <c r="I62" s="228"/>
      <c r="J62" s="102"/>
    </row>
    <row r="63" spans="1:10" ht="15" hidden="1" customHeight="1">
      <c r="A63" s="103"/>
      <c r="B63" s="85"/>
      <c r="C63" s="85"/>
      <c r="D63" s="53"/>
      <c r="F63" s="232" t="s">
        <v>59</v>
      </c>
      <c r="G63" s="232"/>
      <c r="H63" s="232"/>
      <c r="I63" s="104"/>
      <c r="J63" s="96">
        <f>SUM(J58:J62)</f>
        <v>0</v>
      </c>
    </row>
    <row r="64" spans="1:10" ht="13.5" hidden="1" customHeight="1">
      <c r="A64" s="103"/>
      <c r="B64" s="85"/>
      <c r="C64" s="85"/>
      <c r="D64" s="53"/>
      <c r="F64" s="97"/>
      <c r="G64" s="97"/>
      <c r="H64" s="105"/>
      <c r="J64" s="98"/>
    </row>
    <row r="65" spans="1:10" ht="11.25" hidden="1" customHeight="1">
      <c r="A65" s="62" t="s">
        <v>11</v>
      </c>
      <c r="B65" s="218" t="s">
        <v>80</v>
      </c>
      <c r="C65" s="218"/>
      <c r="D65" s="63"/>
      <c r="E65" s="67"/>
      <c r="F65" s="226">
        <v>46098</v>
      </c>
      <c r="G65" s="226"/>
      <c r="H65" s="226"/>
      <c r="I65" s="226"/>
      <c r="J65" s="66"/>
    </row>
    <row r="66" spans="1:10" ht="12.75" customHeight="1">
      <c r="A66" s="62" t="s">
        <v>11</v>
      </c>
      <c r="B66" s="218" t="s">
        <v>81</v>
      </c>
      <c r="C66" s="218"/>
      <c r="D66" s="63"/>
      <c r="E66" s="67"/>
      <c r="F66" s="226">
        <v>46071</v>
      </c>
      <c r="G66" s="226"/>
      <c r="H66" s="226"/>
      <c r="I66" s="226"/>
      <c r="J66" s="66"/>
    </row>
    <row r="67" spans="1:10" ht="15.75" customHeight="1">
      <c r="A67" s="62" t="s">
        <v>11</v>
      </c>
      <c r="B67" s="230" t="s">
        <v>82</v>
      </c>
      <c r="C67" s="230"/>
      <c r="D67" s="63">
        <v>0.84260000000000002</v>
      </c>
      <c r="E67" s="69" t="s">
        <v>83</v>
      </c>
      <c r="F67" s="226">
        <v>46013</v>
      </c>
      <c r="G67" s="226"/>
      <c r="H67" s="226"/>
      <c r="I67" s="226"/>
      <c r="J67" s="66"/>
    </row>
    <row r="68" spans="1:10" ht="13.5" hidden="1" customHeight="1">
      <c r="A68" s="62" t="s">
        <v>11</v>
      </c>
      <c r="B68" s="230" t="s">
        <v>84</v>
      </c>
      <c r="C68" s="230"/>
      <c r="D68" s="63">
        <v>0.84130000000000005</v>
      </c>
      <c r="E68" s="69" t="s">
        <v>85</v>
      </c>
      <c r="F68" s="226">
        <v>45999</v>
      </c>
      <c r="G68" s="226"/>
      <c r="H68" s="226"/>
      <c r="I68" s="226"/>
      <c r="J68" s="66"/>
    </row>
    <row r="69" spans="1:10" ht="13.5" customHeight="1">
      <c r="A69" s="62" t="s">
        <v>11</v>
      </c>
      <c r="B69" s="230" t="s">
        <v>86</v>
      </c>
      <c r="C69" s="230"/>
      <c r="D69" s="63">
        <v>0.84109999999999996</v>
      </c>
      <c r="E69" s="63" t="s">
        <v>87</v>
      </c>
      <c r="F69" s="226">
        <v>45974</v>
      </c>
      <c r="G69" s="226"/>
      <c r="H69" s="226"/>
      <c r="I69" s="226"/>
      <c r="J69" s="66"/>
    </row>
    <row r="70" spans="1:10" ht="13.5" hidden="1" customHeight="1">
      <c r="A70" s="62" t="s">
        <v>11</v>
      </c>
      <c r="B70" s="230" t="s">
        <v>86</v>
      </c>
      <c r="C70" s="230"/>
      <c r="D70" s="63">
        <v>0.84109999999999996</v>
      </c>
      <c r="E70" s="63" t="s">
        <v>88</v>
      </c>
      <c r="F70" s="226">
        <v>45973</v>
      </c>
      <c r="G70" s="226"/>
      <c r="H70" s="226"/>
      <c r="I70" s="226"/>
      <c r="J70" s="66"/>
    </row>
    <row r="71" spans="1:10" ht="13.5" hidden="1" customHeight="1">
      <c r="A71" s="62" t="s">
        <v>11</v>
      </c>
      <c r="B71" s="216" t="s">
        <v>89</v>
      </c>
      <c r="C71" s="216"/>
      <c r="D71" s="63">
        <v>0.84150000000000003</v>
      </c>
      <c r="E71" s="63" t="s">
        <v>90</v>
      </c>
      <c r="F71" s="226">
        <v>45967</v>
      </c>
      <c r="G71" s="226"/>
      <c r="H71" s="226"/>
      <c r="I71" s="226"/>
      <c r="J71" s="66"/>
    </row>
    <row r="72" spans="1:10" ht="12" hidden="1" customHeight="1">
      <c r="A72" s="62" t="s">
        <v>11</v>
      </c>
      <c r="B72" s="216" t="s">
        <v>91</v>
      </c>
      <c r="C72" s="216"/>
      <c r="D72" s="63">
        <v>0.83650000000000002</v>
      </c>
      <c r="E72" s="69" t="s">
        <v>92</v>
      </c>
      <c r="F72" s="226">
        <v>45961</v>
      </c>
      <c r="G72" s="226"/>
      <c r="H72" s="226"/>
      <c r="I72" s="226"/>
      <c r="J72" s="66"/>
    </row>
    <row r="73" spans="1:10" ht="13.5" hidden="1" customHeight="1">
      <c r="A73" s="62" t="s">
        <v>11</v>
      </c>
      <c r="B73" s="216" t="s">
        <v>93</v>
      </c>
      <c r="C73" s="216"/>
      <c r="D73" s="63">
        <v>0.84</v>
      </c>
      <c r="E73" s="69" t="s">
        <v>94</v>
      </c>
      <c r="F73" s="226">
        <v>46205</v>
      </c>
      <c r="G73" s="226"/>
      <c r="H73" s="226"/>
      <c r="I73" s="226"/>
      <c r="J73" s="66"/>
    </row>
    <row r="74" spans="1:10" ht="11.25" customHeight="1">
      <c r="A74" s="62" t="s">
        <v>11</v>
      </c>
      <c r="B74" s="216" t="s">
        <v>93</v>
      </c>
      <c r="C74" s="216"/>
      <c r="D74" s="63">
        <v>0.84</v>
      </c>
      <c r="E74" s="69" t="s">
        <v>95</v>
      </c>
      <c r="F74" s="217">
        <v>46205</v>
      </c>
      <c r="G74" s="217"/>
      <c r="H74" s="217"/>
      <c r="I74" s="106"/>
      <c r="J74" s="66"/>
    </row>
    <row r="75" spans="1:10" ht="12.75" customHeight="1">
      <c r="A75" s="62" t="s">
        <v>11</v>
      </c>
      <c r="B75" s="216" t="s">
        <v>96</v>
      </c>
      <c r="C75" s="216"/>
      <c r="D75" s="63">
        <v>0.83540000000000003</v>
      </c>
      <c r="E75" s="67" t="s">
        <v>97</v>
      </c>
      <c r="F75" s="226">
        <v>46188</v>
      </c>
      <c r="G75" s="226"/>
      <c r="H75" s="226"/>
      <c r="I75" s="226"/>
      <c r="J75" s="66"/>
    </row>
    <row r="76" spans="1:10" ht="14.25" customHeight="1">
      <c r="A76" s="62" t="s">
        <v>11</v>
      </c>
      <c r="B76" s="218" t="s">
        <v>98</v>
      </c>
      <c r="C76" s="218"/>
      <c r="D76" s="63"/>
      <c r="E76" s="63"/>
      <c r="F76" s="226">
        <v>46140</v>
      </c>
      <c r="G76" s="226"/>
      <c r="H76" s="226"/>
      <c r="I76" s="226"/>
      <c r="J76" s="66"/>
    </row>
    <row r="77" spans="1:10" ht="10.5" hidden="1" customHeight="1">
      <c r="A77" s="62" t="s">
        <v>11</v>
      </c>
      <c r="B77" s="218" t="s">
        <v>99</v>
      </c>
      <c r="C77" s="218"/>
      <c r="D77" s="63"/>
      <c r="E77" s="69"/>
      <c r="F77" s="226">
        <v>46154</v>
      </c>
      <c r="G77" s="226"/>
      <c r="H77" s="226"/>
      <c r="I77" s="226"/>
      <c r="J77" s="66"/>
    </row>
    <row r="78" spans="1:10" ht="10.5" hidden="1" customHeight="1">
      <c r="A78" s="62" t="s">
        <v>11</v>
      </c>
      <c r="B78" s="233" t="s">
        <v>100</v>
      </c>
      <c r="C78" s="233"/>
      <c r="D78" s="81">
        <v>0.84050000000000002</v>
      </c>
      <c r="E78" s="81" t="s">
        <v>101</v>
      </c>
      <c r="F78" s="223">
        <v>46034</v>
      </c>
      <c r="G78" s="223"/>
      <c r="H78" s="223"/>
      <c r="I78" s="223"/>
      <c r="J78" s="107"/>
    </row>
    <row r="79" spans="1:10" ht="13.5" hidden="1" customHeight="1">
      <c r="A79" s="62" t="s">
        <v>11</v>
      </c>
      <c r="B79" s="221" t="s">
        <v>96</v>
      </c>
      <c r="C79" s="221"/>
      <c r="D79" s="83">
        <v>0.83540000000000003</v>
      </c>
      <c r="E79" s="108" t="s">
        <v>97</v>
      </c>
      <c r="F79" s="222">
        <v>46188</v>
      </c>
      <c r="G79" s="222"/>
      <c r="H79" s="222"/>
      <c r="I79" s="222"/>
      <c r="J79" s="79"/>
    </row>
    <row r="80" spans="1:10" ht="13.5" customHeight="1">
      <c r="A80" s="62" t="s">
        <v>11</v>
      </c>
      <c r="B80" s="224" t="s">
        <v>102</v>
      </c>
      <c r="C80" s="224"/>
      <c r="D80" s="83">
        <v>0.83460000000000001</v>
      </c>
      <c r="E80" s="78" t="s">
        <v>103</v>
      </c>
      <c r="F80" s="222">
        <v>45945</v>
      </c>
      <c r="G80" s="222"/>
      <c r="H80" s="222"/>
      <c r="I80" s="222"/>
      <c r="J80" s="94"/>
    </row>
    <row r="81" spans="1:11" ht="13.5" hidden="1" customHeight="1">
      <c r="A81" s="109"/>
      <c r="B81" s="110"/>
      <c r="C81" s="110"/>
      <c r="D81" s="110"/>
      <c r="E81" s="110"/>
      <c r="F81" s="234" t="s">
        <v>59</v>
      </c>
      <c r="G81" s="234"/>
      <c r="H81" s="234"/>
      <c r="I81" s="111"/>
      <c r="J81" s="112">
        <f>SUM(J65:J80)</f>
        <v>0</v>
      </c>
    </row>
    <row r="82" spans="1:11" ht="13.5" hidden="1" customHeight="1">
      <c r="A82" s="62" t="s">
        <v>11</v>
      </c>
      <c r="B82" s="218" t="s">
        <v>104</v>
      </c>
      <c r="C82" s="218"/>
      <c r="D82" s="63"/>
      <c r="E82" s="69"/>
      <c r="F82" s="226">
        <v>46182</v>
      </c>
      <c r="G82" s="226"/>
      <c r="H82" s="226"/>
      <c r="I82" s="226"/>
      <c r="J82" s="66"/>
    </row>
    <row r="83" spans="1:11" ht="13.5" hidden="1" customHeight="1">
      <c r="A83" s="62" t="s">
        <v>11</v>
      </c>
      <c r="B83" s="218" t="s">
        <v>105</v>
      </c>
      <c r="C83" s="218"/>
      <c r="D83" s="63"/>
      <c r="E83" s="69"/>
      <c r="F83" s="226">
        <v>46176</v>
      </c>
      <c r="G83" s="226"/>
      <c r="H83" s="226"/>
      <c r="I83" s="226"/>
      <c r="J83" s="66"/>
    </row>
    <row r="84" spans="1:11" ht="13.5" hidden="1" customHeight="1">
      <c r="A84" s="62" t="s">
        <v>11</v>
      </c>
      <c r="B84" s="216" t="s">
        <v>61</v>
      </c>
      <c r="C84" s="216"/>
      <c r="D84" s="63">
        <v>0.83509999999999995</v>
      </c>
      <c r="E84" s="69" t="s">
        <v>106</v>
      </c>
      <c r="F84" s="226">
        <v>46163</v>
      </c>
      <c r="G84" s="226"/>
      <c r="H84" s="226"/>
      <c r="I84" s="226"/>
      <c r="J84" s="66"/>
    </row>
    <row r="85" spans="1:11" ht="13.5" hidden="1" customHeight="1">
      <c r="A85" s="62" t="s">
        <v>11</v>
      </c>
      <c r="B85" s="218" t="s">
        <v>107</v>
      </c>
      <c r="C85" s="218"/>
      <c r="D85" s="63"/>
      <c r="E85" s="63"/>
      <c r="F85" s="226">
        <v>46161</v>
      </c>
      <c r="G85" s="226"/>
      <c r="H85" s="226"/>
      <c r="I85" s="226"/>
      <c r="J85" s="66"/>
    </row>
    <row r="86" spans="1:11" ht="13.5" customHeight="1">
      <c r="A86" s="62" t="s">
        <v>11</v>
      </c>
      <c r="B86" s="218" t="s">
        <v>98</v>
      </c>
      <c r="C86" s="218"/>
      <c r="D86" s="63"/>
      <c r="E86" s="63"/>
      <c r="F86" s="226">
        <v>46140</v>
      </c>
      <c r="G86" s="226"/>
      <c r="H86" s="226"/>
      <c r="I86" s="226"/>
      <c r="J86" s="66"/>
    </row>
    <row r="87" spans="1:11" ht="13.5" hidden="1" customHeight="1">
      <c r="A87" s="62" t="s">
        <v>11</v>
      </c>
      <c r="B87" s="218" t="s">
        <v>99</v>
      </c>
      <c r="C87" s="218"/>
      <c r="D87" s="63"/>
      <c r="E87" s="69"/>
      <c r="F87" s="226">
        <v>46154</v>
      </c>
      <c r="G87" s="226"/>
      <c r="H87" s="226"/>
      <c r="I87" s="226"/>
      <c r="J87" s="66"/>
    </row>
    <row r="88" spans="1:11" ht="12" hidden="1" customHeight="1">
      <c r="A88" s="62" t="s">
        <v>11</v>
      </c>
      <c r="B88" s="235" t="s">
        <v>108</v>
      </c>
      <c r="C88" s="235"/>
      <c r="D88" s="63">
        <v>0.84199999999999997</v>
      </c>
      <c r="E88" s="63" t="s">
        <v>109</v>
      </c>
      <c r="F88" s="226">
        <v>46106</v>
      </c>
      <c r="G88" s="226"/>
      <c r="H88" s="226"/>
      <c r="I88" s="226"/>
      <c r="J88" s="66"/>
    </row>
    <row r="89" spans="1:11" ht="13.5" customHeight="1">
      <c r="A89" s="62" t="s">
        <v>11</v>
      </c>
      <c r="B89" s="233" t="s">
        <v>100</v>
      </c>
      <c r="C89" s="233"/>
      <c r="D89" s="81">
        <v>0.84050000000000002</v>
      </c>
      <c r="E89" s="81" t="s">
        <v>101</v>
      </c>
      <c r="F89" s="223">
        <v>46034</v>
      </c>
      <c r="G89" s="223"/>
      <c r="H89" s="223"/>
      <c r="I89" s="223"/>
      <c r="J89" s="107"/>
    </row>
    <row r="90" spans="1:11" ht="14.25" customHeight="1">
      <c r="A90" s="62" t="s">
        <v>11</v>
      </c>
      <c r="B90" s="236" t="s">
        <v>102</v>
      </c>
      <c r="C90" s="236"/>
      <c r="D90" s="113">
        <v>0.83460000000000001</v>
      </c>
      <c r="E90" s="114" t="s">
        <v>103</v>
      </c>
      <c r="F90" s="237">
        <v>45945</v>
      </c>
      <c r="G90" s="237"/>
      <c r="H90" s="237"/>
      <c r="I90" s="237"/>
      <c r="J90" s="115"/>
    </row>
    <row r="91" spans="1:11" ht="11.25" hidden="1" customHeight="1">
      <c r="A91" s="62" t="s">
        <v>11</v>
      </c>
      <c r="B91" s="238" t="s">
        <v>110</v>
      </c>
      <c r="C91" s="238"/>
      <c r="D91" s="92">
        <v>0.83460000000000001</v>
      </c>
      <c r="E91" s="101" t="s">
        <v>103</v>
      </c>
      <c r="F91" s="228">
        <v>45945</v>
      </c>
      <c r="G91" s="228"/>
      <c r="H91" s="228"/>
      <c r="I91" s="228"/>
      <c r="J91" s="116"/>
    </row>
    <row r="92" spans="1:11" ht="15.75" customHeight="1">
      <c r="A92" s="109"/>
      <c r="B92" s="110"/>
      <c r="C92" s="110"/>
      <c r="D92" s="110"/>
      <c r="E92" s="110"/>
      <c r="F92" s="234" t="s">
        <v>59</v>
      </c>
      <c r="G92" s="234"/>
      <c r="H92" s="234"/>
      <c r="I92" s="111"/>
      <c r="J92" s="112">
        <f>SUM(J77:J91)</f>
        <v>0</v>
      </c>
    </row>
    <row r="93" spans="1:11" ht="18.75" customHeight="1">
      <c r="A93" s="35"/>
      <c r="F93" s="97"/>
      <c r="G93" s="97"/>
      <c r="H93" s="105"/>
      <c r="J93" s="117"/>
    </row>
    <row r="94" spans="1:11" ht="15.75" hidden="1" customHeight="1">
      <c r="A94" s="35"/>
      <c r="F94" s="97"/>
      <c r="G94" s="97"/>
      <c r="H94" s="105"/>
      <c r="J94" s="117"/>
    </row>
    <row r="95" spans="1:11" ht="12.75" customHeight="1">
      <c r="A95" s="239" t="s">
        <v>111</v>
      </c>
      <c r="B95" s="239"/>
      <c r="C95" s="239"/>
      <c r="D95" s="239"/>
      <c r="E95" s="239"/>
      <c r="F95" s="239"/>
      <c r="G95" s="239"/>
      <c r="H95" s="239"/>
      <c r="I95" s="239"/>
      <c r="J95" s="239"/>
      <c r="K95" s="118"/>
    </row>
    <row r="96" spans="1:11" ht="48.75" customHeight="1">
      <c r="A96" s="119" t="s">
        <v>112</v>
      </c>
      <c r="B96" s="120" t="s">
        <v>113</v>
      </c>
      <c r="C96" s="120" t="s">
        <v>114</v>
      </c>
      <c r="D96" s="120" t="s">
        <v>115</v>
      </c>
      <c r="E96" s="120" t="s">
        <v>116</v>
      </c>
      <c r="F96" s="120" t="s">
        <v>117</v>
      </c>
      <c r="G96" s="120" t="s">
        <v>118</v>
      </c>
      <c r="H96" s="120" t="s">
        <v>119</v>
      </c>
      <c r="I96" s="120" t="s">
        <v>120</v>
      </c>
      <c r="J96" s="121" t="s">
        <v>121</v>
      </c>
      <c r="K96" s="122" t="s">
        <v>122</v>
      </c>
    </row>
    <row r="97" spans="1:14" ht="12" customHeight="1">
      <c r="A97" s="240" t="s">
        <v>123</v>
      </c>
      <c r="B97" s="123" t="s">
        <v>8</v>
      </c>
      <c r="C97" s="124"/>
      <c r="D97" s="123"/>
      <c r="E97" s="123"/>
      <c r="F97" s="123"/>
      <c r="G97" s="123"/>
      <c r="H97" s="123"/>
      <c r="I97" s="125"/>
      <c r="J97" s="126">
        <f>C97+E97-I97+D97-G97+F97-H97</f>
        <v>0</v>
      </c>
      <c r="K97" s="127">
        <f t="shared" ref="K97:K106" si="0">+D97+F97-J97+E97-I97+G97</f>
        <v>0</v>
      </c>
      <c r="N97" s="128"/>
    </row>
    <row r="98" spans="1:14" ht="12" customHeight="1">
      <c r="A98" s="240"/>
      <c r="B98" s="129" t="s">
        <v>20</v>
      </c>
      <c r="C98" s="130"/>
      <c r="D98" s="131"/>
      <c r="E98" s="129"/>
      <c r="F98" s="129"/>
      <c r="G98" s="129"/>
      <c r="H98" s="129"/>
      <c r="I98" s="129"/>
      <c r="J98" s="132">
        <f>+C98+E98-I98+D98-G98+F98-H98</f>
        <v>0</v>
      </c>
      <c r="K98" s="133">
        <f t="shared" si="0"/>
        <v>0</v>
      </c>
      <c r="N98" s="128"/>
    </row>
    <row r="99" spans="1:14" ht="11.25" customHeight="1">
      <c r="A99" s="240"/>
      <c r="B99" s="129" t="s">
        <v>10</v>
      </c>
      <c r="C99" s="130"/>
      <c r="D99" s="131"/>
      <c r="E99" s="129"/>
      <c r="F99" s="134"/>
      <c r="G99" s="129"/>
      <c r="H99" s="129"/>
      <c r="I99" s="135"/>
      <c r="J99" s="132">
        <f>+C99+E99-I99+D99-G99+F99</f>
        <v>0</v>
      </c>
      <c r="K99" s="133">
        <f t="shared" si="0"/>
        <v>0</v>
      </c>
      <c r="N99" s="128"/>
    </row>
    <row r="100" spans="1:14" ht="10.5" customHeight="1">
      <c r="A100" s="240"/>
      <c r="B100" s="129" t="s">
        <v>11</v>
      </c>
      <c r="C100" s="130"/>
      <c r="D100" s="131"/>
      <c r="E100" s="129"/>
      <c r="F100" s="129"/>
      <c r="G100" s="129"/>
      <c r="H100" s="129"/>
      <c r="I100" s="135"/>
      <c r="J100" s="132">
        <f>+C100+E100-I100+D100-G100+F100</f>
        <v>0</v>
      </c>
      <c r="K100" s="133">
        <f t="shared" si="0"/>
        <v>0</v>
      </c>
      <c r="N100" s="128"/>
    </row>
    <row r="101" spans="1:14" ht="14.25" customHeight="1">
      <c r="A101" s="240"/>
      <c r="B101" s="136" t="s">
        <v>124</v>
      </c>
      <c r="C101" s="137"/>
      <c r="D101" s="136">
        <f t="shared" ref="D101:J101" si="1">SUM(D97:D100)</f>
        <v>0</v>
      </c>
      <c r="E101" s="136">
        <f t="shared" si="1"/>
        <v>0</v>
      </c>
      <c r="F101" s="136">
        <f t="shared" si="1"/>
        <v>0</v>
      </c>
      <c r="G101" s="136">
        <f t="shared" si="1"/>
        <v>0</v>
      </c>
      <c r="H101" s="136">
        <f t="shared" si="1"/>
        <v>0</v>
      </c>
      <c r="I101" s="136">
        <f t="shared" si="1"/>
        <v>0</v>
      </c>
      <c r="J101" s="138">
        <f t="shared" si="1"/>
        <v>0</v>
      </c>
      <c r="K101" s="139">
        <f t="shared" si="0"/>
        <v>0</v>
      </c>
      <c r="N101" s="128"/>
    </row>
    <row r="102" spans="1:14" ht="11.25" customHeight="1">
      <c r="A102" s="240" t="s">
        <v>125</v>
      </c>
      <c r="B102" s="123" t="s">
        <v>8</v>
      </c>
      <c r="C102" s="124"/>
      <c r="D102" s="123"/>
      <c r="E102" s="123"/>
      <c r="F102" s="123"/>
      <c r="G102" s="123"/>
      <c r="H102" s="123"/>
      <c r="I102" s="140"/>
      <c r="J102" s="126">
        <f>+C102+E102-I102+D102-G102-H102+F102</f>
        <v>0</v>
      </c>
      <c r="K102" s="141">
        <f t="shared" si="0"/>
        <v>0</v>
      </c>
      <c r="N102" s="128"/>
    </row>
    <row r="103" spans="1:14" ht="11.25" customHeight="1">
      <c r="A103" s="240"/>
      <c r="B103" s="129" t="s">
        <v>20</v>
      </c>
      <c r="C103" s="130"/>
      <c r="D103" s="131"/>
      <c r="E103" s="129"/>
      <c r="F103" s="129"/>
      <c r="G103" s="129"/>
      <c r="H103" s="129"/>
      <c r="I103" s="142"/>
      <c r="J103" s="132">
        <f>+C103+E103-I103+D103-G103-H103+F103</f>
        <v>0</v>
      </c>
      <c r="K103" s="133">
        <f t="shared" si="0"/>
        <v>0</v>
      </c>
      <c r="N103" s="128"/>
    </row>
    <row r="104" spans="1:14" ht="12.75" customHeight="1">
      <c r="A104" s="240"/>
      <c r="B104" s="129" t="s">
        <v>10</v>
      </c>
      <c r="C104" s="130"/>
      <c r="D104" s="131"/>
      <c r="E104" s="129"/>
      <c r="F104" s="134"/>
      <c r="G104" s="129"/>
      <c r="H104" s="129"/>
      <c r="I104" s="143"/>
      <c r="J104" s="132">
        <f>+C104+E104-I104+D104-G104-H104+F104</f>
        <v>0</v>
      </c>
      <c r="K104" s="133">
        <f t="shared" si="0"/>
        <v>0</v>
      </c>
      <c r="N104" s="128"/>
    </row>
    <row r="105" spans="1:14" ht="10.5" customHeight="1">
      <c r="A105" s="240"/>
      <c r="B105" s="129" t="s">
        <v>11</v>
      </c>
      <c r="C105" s="130"/>
      <c r="D105" s="131"/>
      <c r="E105" s="129"/>
      <c r="F105" s="129"/>
      <c r="G105" s="129"/>
      <c r="H105" s="129"/>
      <c r="I105" s="143"/>
      <c r="J105" s="132">
        <f>+C105+E105-I105+D105-G105-H105+F105</f>
        <v>0</v>
      </c>
      <c r="K105" s="133">
        <f t="shared" si="0"/>
        <v>0</v>
      </c>
      <c r="M105" s="144"/>
      <c r="N105" s="128"/>
    </row>
    <row r="106" spans="1:14" ht="13.5" customHeight="1">
      <c r="A106" s="240"/>
      <c r="B106" s="145" t="s">
        <v>124</v>
      </c>
      <c r="C106" s="146"/>
      <c r="D106" s="145">
        <f t="shared" ref="D106:J106" si="2">SUM(D102:D105)</f>
        <v>0</v>
      </c>
      <c r="E106" s="145">
        <f t="shared" si="2"/>
        <v>0</v>
      </c>
      <c r="F106" s="145">
        <f t="shared" si="2"/>
        <v>0</v>
      </c>
      <c r="G106" s="145">
        <f t="shared" si="2"/>
        <v>0</v>
      </c>
      <c r="H106" s="145">
        <f t="shared" si="2"/>
        <v>0</v>
      </c>
      <c r="I106" s="147">
        <f t="shared" si="2"/>
        <v>0</v>
      </c>
      <c r="J106" s="148">
        <f t="shared" si="2"/>
        <v>0</v>
      </c>
      <c r="K106" s="149">
        <f t="shared" si="0"/>
        <v>0</v>
      </c>
      <c r="N106" s="128"/>
    </row>
    <row r="107" spans="1:14" ht="10.5" customHeight="1">
      <c r="A107" s="241" t="s">
        <v>126</v>
      </c>
      <c r="B107" s="123" t="s">
        <v>8</v>
      </c>
      <c r="C107" s="124"/>
      <c r="D107" s="123"/>
      <c r="E107" s="123"/>
      <c r="F107" s="123"/>
      <c r="G107" s="123"/>
      <c r="H107" s="123"/>
      <c r="I107" s="140"/>
      <c r="J107" s="126">
        <f>+C107+E107-I107+D107-G107-H107+F107</f>
        <v>0</v>
      </c>
      <c r="K107" s="150"/>
      <c r="N107" s="128"/>
    </row>
    <row r="108" spans="1:14" ht="10.5" customHeight="1">
      <c r="A108" s="241"/>
      <c r="B108" s="129" t="s">
        <v>20</v>
      </c>
      <c r="C108" s="130"/>
      <c r="D108" s="131"/>
      <c r="E108" s="129"/>
      <c r="F108" s="129"/>
      <c r="G108" s="129"/>
      <c r="H108" s="129"/>
      <c r="I108" s="142"/>
      <c r="J108" s="132">
        <f>+C108+E108-I108+D108-G108-H108+F108</f>
        <v>0</v>
      </c>
      <c r="K108" s="150"/>
      <c r="N108" s="128"/>
    </row>
    <row r="109" spans="1:14">
      <c r="A109" s="241"/>
      <c r="B109" s="129" t="s">
        <v>10</v>
      </c>
      <c r="C109" s="130"/>
      <c r="D109" s="131"/>
      <c r="E109" s="129"/>
      <c r="F109" s="134"/>
      <c r="G109" s="129"/>
      <c r="H109" s="129"/>
      <c r="I109" s="143"/>
      <c r="J109" s="132">
        <f>+C109+E109-I109+D109-G109-H109+F109</f>
        <v>0</v>
      </c>
      <c r="K109" s="150"/>
      <c r="N109" s="128"/>
    </row>
    <row r="110" spans="1:14" ht="11.25" customHeight="1">
      <c r="A110" s="241"/>
      <c r="B110" s="129" t="s">
        <v>11</v>
      </c>
      <c r="C110" s="130"/>
      <c r="D110" s="131"/>
      <c r="E110" s="129"/>
      <c r="F110" s="129"/>
      <c r="G110" s="129"/>
      <c r="H110" s="129"/>
      <c r="I110" s="143"/>
      <c r="J110" s="132">
        <f>+C110+E110-I110+D110-G110-H110+F110</f>
        <v>0</v>
      </c>
      <c r="K110" s="150"/>
      <c r="N110" s="128"/>
    </row>
    <row r="111" spans="1:14" ht="12" customHeight="1">
      <c r="A111" s="241"/>
      <c r="B111" s="145" t="s">
        <v>124</v>
      </c>
      <c r="C111" s="146"/>
      <c r="D111" s="145">
        <f t="shared" ref="D111:J111" si="3">SUM(D107:D110)</f>
        <v>0</v>
      </c>
      <c r="E111" s="145">
        <f t="shared" si="3"/>
        <v>0</v>
      </c>
      <c r="F111" s="145">
        <f t="shared" si="3"/>
        <v>0</v>
      </c>
      <c r="G111" s="145">
        <f t="shared" si="3"/>
        <v>0</v>
      </c>
      <c r="H111" s="145">
        <f t="shared" si="3"/>
        <v>0</v>
      </c>
      <c r="I111" s="147">
        <f t="shared" si="3"/>
        <v>0</v>
      </c>
      <c r="J111" s="148">
        <f t="shared" si="3"/>
        <v>0</v>
      </c>
      <c r="K111" s="150"/>
      <c r="N111" s="128"/>
    </row>
    <row r="112" spans="1:14" ht="12" customHeight="1">
      <c r="A112" s="242" t="s">
        <v>127</v>
      </c>
      <c r="B112" s="131" t="s">
        <v>8</v>
      </c>
      <c r="C112" s="151"/>
      <c r="D112" s="123"/>
      <c r="E112" s="123"/>
      <c r="F112" s="123"/>
      <c r="G112" s="123"/>
      <c r="H112" s="123"/>
      <c r="I112" s="152"/>
      <c r="J112" s="153">
        <f>+C112+E112-I112+D112-G112+F112+0-H112</f>
        <v>0</v>
      </c>
      <c r="K112" s="127">
        <f>+D112+F112-J112+E112-I112+G112+0</f>
        <v>0</v>
      </c>
      <c r="N112" s="128"/>
    </row>
    <row r="113" spans="1:14" ht="11.25" customHeight="1">
      <c r="A113" s="242"/>
      <c r="B113" s="129" t="s">
        <v>20</v>
      </c>
      <c r="C113" s="130"/>
      <c r="D113" s="131"/>
      <c r="E113" s="129"/>
      <c r="F113" s="129"/>
      <c r="G113" s="129"/>
      <c r="H113" s="129"/>
      <c r="I113" s="129"/>
      <c r="J113" s="132">
        <f>+C113+E113-I113+D113-G113+F113-H113</f>
        <v>0</v>
      </c>
      <c r="K113" s="133">
        <f t="shared" ref="K113:K122" si="4">+D113+F113-J113+E113-I113+G113</f>
        <v>0</v>
      </c>
      <c r="N113" s="128"/>
    </row>
    <row r="114" spans="1:14" ht="11.25" customHeight="1">
      <c r="A114" s="242"/>
      <c r="B114" s="129" t="s">
        <v>10</v>
      </c>
      <c r="C114" s="130"/>
      <c r="D114" s="131"/>
      <c r="E114" s="129"/>
      <c r="F114" s="134"/>
      <c r="G114" s="129"/>
      <c r="H114" s="129"/>
      <c r="I114" s="135"/>
      <c r="J114" s="132">
        <f>+C114+E114-I114+D114-G114+F114</f>
        <v>0</v>
      </c>
      <c r="K114" s="133">
        <f t="shared" si="4"/>
        <v>0</v>
      </c>
      <c r="N114" s="128"/>
    </row>
    <row r="115" spans="1:14" ht="11.25" customHeight="1">
      <c r="A115" s="242"/>
      <c r="B115" s="129" t="s">
        <v>11</v>
      </c>
      <c r="C115" s="130"/>
      <c r="D115" s="131"/>
      <c r="E115" s="129"/>
      <c r="F115" s="129"/>
      <c r="G115" s="129"/>
      <c r="H115" s="129"/>
      <c r="I115" s="135"/>
      <c r="J115" s="132">
        <f>+C115+E115-I115+D115-G115+F115</f>
        <v>0</v>
      </c>
      <c r="K115" s="133">
        <f t="shared" si="4"/>
        <v>0</v>
      </c>
      <c r="N115" s="128"/>
    </row>
    <row r="116" spans="1:14" ht="12" customHeight="1">
      <c r="A116" s="242"/>
      <c r="B116" s="145" t="s">
        <v>124</v>
      </c>
      <c r="C116" s="137"/>
      <c r="D116" s="145">
        <f t="shared" ref="D116:J116" si="5">SUM(D112:D115)</f>
        <v>0</v>
      </c>
      <c r="E116" s="145">
        <f t="shared" si="5"/>
        <v>0</v>
      </c>
      <c r="F116" s="145">
        <f t="shared" si="5"/>
        <v>0</v>
      </c>
      <c r="G116" s="145">
        <f t="shared" si="5"/>
        <v>0</v>
      </c>
      <c r="H116" s="145">
        <f t="shared" si="5"/>
        <v>0</v>
      </c>
      <c r="I116" s="145">
        <f t="shared" si="5"/>
        <v>0</v>
      </c>
      <c r="J116" s="148">
        <f t="shared" si="5"/>
        <v>0</v>
      </c>
      <c r="K116" s="139">
        <f t="shared" si="4"/>
        <v>0</v>
      </c>
      <c r="N116" s="128"/>
    </row>
    <row r="117" spans="1:14" ht="12.75" customHeight="1">
      <c r="A117" s="240" t="s">
        <v>128</v>
      </c>
      <c r="B117" s="123" t="s">
        <v>8</v>
      </c>
      <c r="C117" s="124"/>
      <c r="D117" s="123"/>
      <c r="E117" s="123"/>
      <c r="F117" s="123"/>
      <c r="G117" s="123"/>
      <c r="H117" s="123"/>
      <c r="I117" s="125"/>
      <c r="J117" s="126">
        <f>+C117+E117-I117+D117-G117+F117-H117</f>
        <v>0</v>
      </c>
      <c r="K117" s="141">
        <f t="shared" si="4"/>
        <v>0</v>
      </c>
      <c r="N117" s="128"/>
    </row>
    <row r="118" spans="1:14" ht="11.25" customHeight="1">
      <c r="A118" s="240"/>
      <c r="B118" s="129" t="s">
        <v>20</v>
      </c>
      <c r="C118" s="130"/>
      <c r="D118" s="131"/>
      <c r="E118" s="129"/>
      <c r="F118" s="129"/>
      <c r="G118" s="129"/>
      <c r="H118" s="129"/>
      <c r="I118" s="129"/>
      <c r="J118" s="132">
        <f>+C118+E118-I118+D118-G118+F118</f>
        <v>0</v>
      </c>
      <c r="K118" s="133">
        <f t="shared" si="4"/>
        <v>0</v>
      </c>
      <c r="N118" s="128"/>
    </row>
    <row r="119" spans="1:14" ht="12.75" customHeight="1">
      <c r="A119" s="240"/>
      <c r="B119" s="129" t="s">
        <v>10</v>
      </c>
      <c r="C119" s="130"/>
      <c r="D119" s="131"/>
      <c r="E119" s="129"/>
      <c r="F119" s="134"/>
      <c r="G119" s="129"/>
      <c r="H119" s="129"/>
      <c r="I119" s="135"/>
      <c r="J119" s="132">
        <f>+C119+E119-I119+D119-G119+F119</f>
        <v>0</v>
      </c>
      <c r="K119" s="133">
        <f t="shared" si="4"/>
        <v>0</v>
      </c>
      <c r="N119" s="128"/>
    </row>
    <row r="120" spans="1:14" ht="10.5" customHeight="1">
      <c r="A120" s="240"/>
      <c r="B120" s="129" t="s">
        <v>11</v>
      </c>
      <c r="C120" s="130"/>
      <c r="D120" s="131"/>
      <c r="E120" s="129"/>
      <c r="F120" s="129"/>
      <c r="G120" s="129"/>
      <c r="H120" s="129"/>
      <c r="I120" s="135"/>
      <c r="J120" s="132">
        <f>+C120+E120-I120+D120-G120+F120</f>
        <v>0</v>
      </c>
      <c r="K120" s="133">
        <f t="shared" si="4"/>
        <v>0</v>
      </c>
      <c r="N120" s="128"/>
    </row>
    <row r="121" spans="1:14" ht="12.75" customHeight="1">
      <c r="A121" s="240"/>
      <c r="B121" s="145" t="s">
        <v>124</v>
      </c>
      <c r="C121" s="146"/>
      <c r="D121" s="145">
        <f t="shared" ref="D121:I121" si="6">SUM(D117:D120)</f>
        <v>0</v>
      </c>
      <c r="E121" s="145">
        <f t="shared" si="6"/>
        <v>0</v>
      </c>
      <c r="F121" s="145">
        <f t="shared" si="6"/>
        <v>0</v>
      </c>
      <c r="G121" s="145">
        <f t="shared" si="6"/>
        <v>0</v>
      </c>
      <c r="H121" s="145">
        <f t="shared" si="6"/>
        <v>0</v>
      </c>
      <c r="I121" s="145">
        <f t="shared" si="6"/>
        <v>0</v>
      </c>
      <c r="J121" s="148">
        <f>SUM(J117:J120)-0.001</f>
        <v>-1E-3</v>
      </c>
      <c r="K121" s="149">
        <f t="shared" si="4"/>
        <v>1E-3</v>
      </c>
      <c r="N121" s="128"/>
    </row>
    <row r="122" spans="1:14" ht="10.5" customHeight="1">
      <c r="A122" s="242" t="s">
        <v>129</v>
      </c>
      <c r="B122" s="131" t="s">
        <v>8</v>
      </c>
      <c r="C122" s="151"/>
      <c r="D122" s="123"/>
      <c r="E122" s="123"/>
      <c r="F122" s="123"/>
      <c r="G122" s="123"/>
      <c r="H122" s="123"/>
      <c r="I122" s="152"/>
      <c r="J122" s="153">
        <f>+C122+E122-I122+D122-G122-H122+F122</f>
        <v>0</v>
      </c>
      <c r="K122" s="127">
        <f t="shared" si="4"/>
        <v>0</v>
      </c>
      <c r="N122" s="128"/>
    </row>
    <row r="123" spans="1:14" hidden="1">
      <c r="A123" s="242"/>
      <c r="B123" s="129" t="s">
        <v>20</v>
      </c>
      <c r="C123" s="130"/>
      <c r="D123" s="131"/>
      <c r="E123" s="129"/>
      <c r="F123" s="129"/>
      <c r="G123" s="129"/>
      <c r="H123" s="129"/>
      <c r="I123" s="129"/>
      <c r="J123" s="132">
        <f>+C123+E123-I123+D123-G123+F123</f>
        <v>0</v>
      </c>
      <c r="K123" s="133"/>
      <c r="N123" s="128"/>
    </row>
    <row r="124" spans="1:14" ht="10.5" customHeight="1">
      <c r="A124" s="242"/>
      <c r="B124" s="129" t="s">
        <v>10</v>
      </c>
      <c r="C124" s="130"/>
      <c r="D124" s="131"/>
      <c r="E124" s="129"/>
      <c r="F124" s="134"/>
      <c r="G124" s="129"/>
      <c r="H124" s="129"/>
      <c r="I124" s="135"/>
      <c r="J124" s="132">
        <f>+C124+E124-I124+D124-G124+F124</f>
        <v>0</v>
      </c>
      <c r="K124" s="133">
        <f t="shared" ref="K124:K131" si="7">+D124+F124-J124+E124-I124+G124</f>
        <v>0</v>
      </c>
      <c r="N124" s="128"/>
    </row>
    <row r="125" spans="1:14" ht="12.75" customHeight="1">
      <c r="A125" s="242"/>
      <c r="B125" s="129" t="s">
        <v>11</v>
      </c>
      <c r="C125" s="130"/>
      <c r="D125" s="131"/>
      <c r="E125" s="129"/>
      <c r="F125" s="129"/>
      <c r="G125" s="129"/>
      <c r="H125" s="129"/>
      <c r="I125" s="135"/>
      <c r="J125" s="132">
        <f>+C125+E125-I125+D125-G125+F125</f>
        <v>0</v>
      </c>
      <c r="K125" s="133">
        <f t="shared" si="7"/>
        <v>0</v>
      </c>
      <c r="N125" s="128"/>
    </row>
    <row r="126" spans="1:14" ht="12" customHeight="1">
      <c r="A126" s="242"/>
      <c r="B126" s="145" t="s">
        <v>124</v>
      </c>
      <c r="C126" s="146"/>
      <c r="D126" s="145">
        <f t="shared" ref="D126:J126" si="8">SUM(D122:D125)</f>
        <v>0</v>
      </c>
      <c r="E126" s="146">
        <f t="shared" si="8"/>
        <v>0</v>
      </c>
      <c r="F126" s="145">
        <f t="shared" si="8"/>
        <v>0</v>
      </c>
      <c r="G126" s="147">
        <f t="shared" si="8"/>
        <v>0</v>
      </c>
      <c r="H126" s="145">
        <f t="shared" si="8"/>
        <v>0</v>
      </c>
      <c r="I126" s="145">
        <f t="shared" si="8"/>
        <v>0</v>
      </c>
      <c r="J126" s="148">
        <f t="shared" si="8"/>
        <v>0</v>
      </c>
      <c r="K126" s="139">
        <f t="shared" si="7"/>
        <v>0</v>
      </c>
      <c r="N126" s="128"/>
    </row>
    <row r="127" spans="1:14" ht="10.5" customHeight="1">
      <c r="A127" s="243" t="s">
        <v>130</v>
      </c>
      <c r="B127" s="123" t="s">
        <v>8</v>
      </c>
      <c r="C127" s="124"/>
      <c r="D127" s="123"/>
      <c r="E127" s="123"/>
      <c r="F127" s="123"/>
      <c r="G127" s="123"/>
      <c r="H127" s="123"/>
      <c r="I127" s="125"/>
      <c r="J127" s="126">
        <f>+C127+E127-I127+D127-G127+F127-H127</f>
        <v>0</v>
      </c>
      <c r="K127" s="141">
        <f t="shared" si="7"/>
        <v>0</v>
      </c>
      <c r="N127" s="128"/>
    </row>
    <row r="128" spans="1:14" ht="12" hidden="1" customHeight="1">
      <c r="A128" s="243"/>
      <c r="B128" s="129" t="s">
        <v>20</v>
      </c>
      <c r="C128" s="130"/>
      <c r="D128" s="131"/>
      <c r="E128" s="129"/>
      <c r="F128" s="129"/>
      <c r="G128" s="129"/>
      <c r="H128" s="129"/>
      <c r="I128" s="129"/>
      <c r="J128" s="132">
        <f>+C128+E128-I128+D128-G128+F128</f>
        <v>0</v>
      </c>
      <c r="K128" s="133">
        <f t="shared" si="7"/>
        <v>0</v>
      </c>
      <c r="N128" s="128"/>
    </row>
    <row r="129" spans="1:14" ht="10.5" customHeight="1">
      <c r="A129" s="243"/>
      <c r="B129" s="129" t="s">
        <v>10</v>
      </c>
      <c r="C129" s="130"/>
      <c r="D129" s="131"/>
      <c r="E129" s="129"/>
      <c r="F129" s="134"/>
      <c r="G129" s="129"/>
      <c r="H129" s="129"/>
      <c r="I129" s="135"/>
      <c r="J129" s="132">
        <f>+C129+E129-I129+D129-G129+F129</f>
        <v>0</v>
      </c>
      <c r="K129" s="133">
        <f t="shared" si="7"/>
        <v>0</v>
      </c>
      <c r="N129" s="128"/>
    </row>
    <row r="130" spans="1:14" ht="11.25" customHeight="1">
      <c r="A130" s="243"/>
      <c r="B130" s="129" t="s">
        <v>11</v>
      </c>
      <c r="C130" s="130"/>
      <c r="D130" s="131"/>
      <c r="E130" s="129"/>
      <c r="F130" s="129"/>
      <c r="G130" s="129"/>
      <c r="H130" s="129"/>
      <c r="I130" s="135"/>
      <c r="J130" s="132">
        <f>+C130+E130-I130+D130-G130+F130</f>
        <v>0</v>
      </c>
      <c r="K130" s="133">
        <f t="shared" si="7"/>
        <v>0</v>
      </c>
      <c r="N130" s="128"/>
    </row>
    <row r="131" spans="1:14" ht="13.5" customHeight="1">
      <c r="A131" s="243"/>
      <c r="B131" s="145" t="s">
        <v>124</v>
      </c>
      <c r="C131" s="146"/>
      <c r="D131" s="145">
        <f t="shared" ref="D131:J131" si="9">SUM(D127:D130)</f>
        <v>0</v>
      </c>
      <c r="E131" s="145">
        <f t="shared" si="9"/>
        <v>0</v>
      </c>
      <c r="F131" s="145">
        <f t="shared" si="9"/>
        <v>0</v>
      </c>
      <c r="G131" s="145">
        <f t="shared" si="9"/>
        <v>0</v>
      </c>
      <c r="H131" s="145">
        <f t="shared" si="9"/>
        <v>0</v>
      </c>
      <c r="I131" s="145">
        <f t="shared" si="9"/>
        <v>0</v>
      </c>
      <c r="J131" s="148">
        <f t="shared" si="9"/>
        <v>0</v>
      </c>
      <c r="K131" s="149">
        <f t="shared" si="7"/>
        <v>0</v>
      </c>
      <c r="N131" s="128"/>
    </row>
    <row r="132" spans="1:14" s="156" customFormat="1" ht="26.25" customHeight="1">
      <c r="A132" s="154" t="s">
        <v>0</v>
      </c>
      <c r="B132" s="244" t="s">
        <v>1</v>
      </c>
      <c r="C132" s="244"/>
      <c r="D132" s="244"/>
      <c r="E132" s="244"/>
      <c r="F132" s="244"/>
      <c r="G132" s="245" t="s">
        <v>2</v>
      </c>
      <c r="H132" s="245"/>
      <c r="I132" s="245"/>
      <c r="J132" s="245"/>
      <c r="K132" s="155"/>
      <c r="N132" s="157"/>
    </row>
    <row r="133" spans="1:14" ht="12.75" customHeight="1">
      <c r="A133" s="246" t="s">
        <v>111</v>
      </c>
      <c r="B133" s="246"/>
      <c r="C133" s="246"/>
      <c r="D133" s="246"/>
      <c r="E133" s="246"/>
      <c r="F133" s="246"/>
      <c r="G133" s="246"/>
      <c r="H133" s="246"/>
      <c r="I133" s="246"/>
      <c r="J133" s="246"/>
      <c r="K133" s="150"/>
      <c r="N133" s="128"/>
    </row>
    <row r="134" spans="1:14" ht="46.5" customHeight="1">
      <c r="A134" s="119" t="s">
        <v>112</v>
      </c>
      <c r="B134" s="120" t="s">
        <v>113</v>
      </c>
      <c r="C134" s="120" t="s">
        <v>114</v>
      </c>
      <c r="D134" s="120" t="s">
        <v>115</v>
      </c>
      <c r="E134" s="120" t="s">
        <v>116</v>
      </c>
      <c r="F134" s="120" t="s">
        <v>117</v>
      </c>
      <c r="G134" s="120" t="s">
        <v>118</v>
      </c>
      <c r="H134" s="120" t="s">
        <v>119</v>
      </c>
      <c r="I134" s="120" t="s">
        <v>120</v>
      </c>
      <c r="J134" s="121" t="s">
        <v>121</v>
      </c>
      <c r="K134" s="150"/>
      <c r="N134" s="128"/>
    </row>
    <row r="135" spans="1:14" ht="12" customHeight="1">
      <c r="A135" s="242" t="s">
        <v>131</v>
      </c>
      <c r="B135" s="131" t="s">
        <v>8</v>
      </c>
      <c r="C135" s="151"/>
      <c r="D135" s="123"/>
      <c r="E135" s="123"/>
      <c r="F135" s="123"/>
      <c r="G135" s="123"/>
      <c r="H135" s="123"/>
      <c r="I135" s="152"/>
      <c r="J135" s="153">
        <f>+C135+E135-I135+D135-G135+F135-H135</f>
        <v>0</v>
      </c>
      <c r="K135" s="127">
        <f t="shared" ref="K135:K143" si="10">+D135+F135-J135+E135-I135+G135</f>
        <v>0</v>
      </c>
      <c r="N135" s="128"/>
    </row>
    <row r="136" spans="1:14" ht="11.25" hidden="1" customHeight="1">
      <c r="A136" s="242"/>
      <c r="B136" s="129" t="s">
        <v>20</v>
      </c>
      <c r="C136" s="130"/>
      <c r="D136" s="131"/>
      <c r="E136" s="129"/>
      <c r="F136" s="129"/>
      <c r="G136" s="129"/>
      <c r="H136" s="129"/>
      <c r="I136" s="129"/>
      <c r="J136" s="132">
        <f>+C136+E136-I136+D136-G136+F136</f>
        <v>0</v>
      </c>
      <c r="K136" s="133">
        <f t="shared" si="10"/>
        <v>0</v>
      </c>
      <c r="N136" s="128"/>
    </row>
    <row r="137" spans="1:14" ht="12.75" customHeight="1">
      <c r="A137" s="242"/>
      <c r="B137" s="129" t="s">
        <v>10</v>
      </c>
      <c r="C137" s="130"/>
      <c r="D137" s="131"/>
      <c r="E137" s="129"/>
      <c r="F137" s="134"/>
      <c r="G137" s="129"/>
      <c r="H137" s="129"/>
      <c r="I137" s="135"/>
      <c r="J137" s="132">
        <f>+C137+E137-I137+D137-G137+F137</f>
        <v>0</v>
      </c>
      <c r="K137" s="133">
        <f t="shared" si="10"/>
        <v>0</v>
      </c>
      <c r="N137" s="128"/>
    </row>
    <row r="138" spans="1:14" ht="11.25" customHeight="1">
      <c r="A138" s="242"/>
      <c r="B138" s="129" t="s">
        <v>11</v>
      </c>
      <c r="C138" s="130"/>
      <c r="D138" s="131"/>
      <c r="E138" s="129"/>
      <c r="F138" s="129"/>
      <c r="G138" s="129"/>
      <c r="H138" s="129"/>
      <c r="I138" s="135"/>
      <c r="J138" s="132">
        <f>+C138+E138-I138+D138-G138+F138</f>
        <v>0</v>
      </c>
      <c r="K138" s="133">
        <f t="shared" si="10"/>
        <v>0</v>
      </c>
      <c r="N138" s="128"/>
    </row>
    <row r="139" spans="1:14" ht="10.5" customHeight="1">
      <c r="A139" s="242"/>
      <c r="B139" s="145" t="s">
        <v>124</v>
      </c>
      <c r="C139" s="137"/>
      <c r="D139" s="145">
        <f t="shared" ref="D139:J139" si="11">SUM(D135:D138)</f>
        <v>0</v>
      </c>
      <c r="E139" s="145">
        <f t="shared" si="11"/>
        <v>0</v>
      </c>
      <c r="F139" s="145">
        <f t="shared" si="11"/>
        <v>0</v>
      </c>
      <c r="G139" s="145">
        <f t="shared" si="11"/>
        <v>0</v>
      </c>
      <c r="H139" s="145">
        <f t="shared" si="11"/>
        <v>0</v>
      </c>
      <c r="I139" s="145">
        <f t="shared" si="11"/>
        <v>0</v>
      </c>
      <c r="J139" s="148">
        <f t="shared" si="11"/>
        <v>0</v>
      </c>
      <c r="K139" s="139">
        <f t="shared" si="10"/>
        <v>0</v>
      </c>
      <c r="N139" s="128"/>
    </row>
    <row r="140" spans="1:14" ht="11.25" customHeight="1">
      <c r="A140" s="240" t="s">
        <v>132</v>
      </c>
      <c r="B140" s="123" t="s">
        <v>8</v>
      </c>
      <c r="C140" s="124"/>
      <c r="D140" s="123"/>
      <c r="E140" s="123"/>
      <c r="F140" s="123"/>
      <c r="G140" s="123"/>
      <c r="H140" s="123"/>
      <c r="I140" s="125"/>
      <c r="J140" s="126">
        <f>+C140+E140-I140+D140-G140+F140</f>
        <v>0</v>
      </c>
      <c r="K140" s="141">
        <f t="shared" si="10"/>
        <v>0</v>
      </c>
      <c r="N140" s="128"/>
    </row>
    <row r="141" spans="1:14" ht="11.25" hidden="1" customHeight="1">
      <c r="A141" s="240"/>
      <c r="B141" s="129" t="s">
        <v>20</v>
      </c>
      <c r="C141" s="130"/>
      <c r="D141" s="131"/>
      <c r="E141" s="129"/>
      <c r="F141" s="129"/>
      <c r="G141" s="123"/>
      <c r="H141" s="129"/>
      <c r="I141" s="129"/>
      <c r="J141" s="132">
        <f>+C141+E141-I141+D141-G141+F141</f>
        <v>0</v>
      </c>
      <c r="K141" s="133">
        <f t="shared" si="10"/>
        <v>0</v>
      </c>
      <c r="N141" s="128"/>
    </row>
    <row r="142" spans="1:14" ht="10.5" customHeight="1">
      <c r="A142" s="240"/>
      <c r="B142" s="129" t="s">
        <v>10</v>
      </c>
      <c r="C142" s="130"/>
      <c r="D142" s="131"/>
      <c r="E142" s="129"/>
      <c r="F142" s="134"/>
      <c r="G142" s="129"/>
      <c r="H142" s="129"/>
      <c r="I142" s="135"/>
      <c r="J142" s="132">
        <f>+C142+E142-I142+D142-G142+F142</f>
        <v>0</v>
      </c>
      <c r="K142" s="133">
        <f t="shared" si="10"/>
        <v>0</v>
      </c>
      <c r="N142" s="128"/>
    </row>
    <row r="143" spans="1:14" ht="11.25" customHeight="1">
      <c r="A143" s="240"/>
      <c r="B143" s="129" t="s">
        <v>11</v>
      </c>
      <c r="C143" s="130"/>
      <c r="D143" s="131"/>
      <c r="E143" s="129"/>
      <c r="F143" s="129"/>
      <c r="G143" s="129"/>
      <c r="H143" s="129"/>
      <c r="I143" s="135"/>
      <c r="J143" s="132">
        <f>+C143+E143-I143+D143-G143+F143</f>
        <v>0</v>
      </c>
      <c r="K143" s="133">
        <f t="shared" si="10"/>
        <v>0</v>
      </c>
      <c r="N143" s="128"/>
    </row>
    <row r="144" spans="1:14" ht="9.75" customHeight="1">
      <c r="A144" s="240"/>
      <c r="B144" s="145" t="s">
        <v>124</v>
      </c>
      <c r="C144" s="137"/>
      <c r="D144" s="145">
        <f t="shared" ref="D144:I144" si="12">SUM(D140:D143)</f>
        <v>0</v>
      </c>
      <c r="E144" s="145">
        <f t="shared" si="12"/>
        <v>0</v>
      </c>
      <c r="F144" s="145">
        <f t="shared" si="12"/>
        <v>0</v>
      </c>
      <c r="G144" s="145">
        <f t="shared" si="12"/>
        <v>0</v>
      </c>
      <c r="H144" s="145">
        <f t="shared" si="12"/>
        <v>0</v>
      </c>
      <c r="I144" s="145">
        <f t="shared" si="12"/>
        <v>0</v>
      </c>
      <c r="J144" s="148">
        <f>J140+J142+J143</f>
        <v>0</v>
      </c>
      <c r="K144" s="149">
        <f>K140+K142+K143</f>
        <v>0</v>
      </c>
      <c r="N144" s="128"/>
    </row>
    <row r="145" spans="1:14" ht="12" customHeight="1">
      <c r="A145" s="240" t="s">
        <v>133</v>
      </c>
      <c r="B145" s="123" t="s">
        <v>8</v>
      </c>
      <c r="C145" s="124"/>
      <c r="D145" s="123"/>
      <c r="E145" s="123"/>
      <c r="F145" s="123"/>
      <c r="G145" s="123"/>
      <c r="H145" s="123"/>
      <c r="I145" s="125"/>
      <c r="J145" s="126">
        <f>+C145+E145-I145+D145-G145+F145</f>
        <v>0</v>
      </c>
      <c r="K145" s="127">
        <f>+D145+F145-J145+E145-I145+G145</f>
        <v>0</v>
      </c>
      <c r="N145" s="128"/>
    </row>
    <row r="146" spans="1:14" ht="15.75" hidden="1" customHeight="1">
      <c r="A146" s="240"/>
      <c r="B146" s="129" t="s">
        <v>20</v>
      </c>
      <c r="C146" s="130"/>
      <c r="D146" s="131"/>
      <c r="E146" s="129"/>
      <c r="F146" s="129"/>
      <c r="G146" s="129"/>
      <c r="H146" s="129"/>
      <c r="I146" s="129"/>
      <c r="J146" s="132">
        <f>+C146+E146-I146+D146-G146+F146</f>
        <v>0</v>
      </c>
      <c r="K146" s="133">
        <f>+D146+F146-J146+E146-I146+G146</f>
        <v>0</v>
      </c>
      <c r="N146" s="128"/>
    </row>
    <row r="147" spans="1:14" ht="9.75" customHeight="1">
      <c r="A147" s="240"/>
      <c r="B147" s="129" t="s">
        <v>10</v>
      </c>
      <c r="C147" s="130"/>
      <c r="D147" s="131"/>
      <c r="E147" s="129"/>
      <c r="F147" s="134"/>
      <c r="G147" s="129"/>
      <c r="H147" s="129"/>
      <c r="I147" s="135"/>
      <c r="J147" s="132">
        <f>+C147+E147-I147+D147-G147+F147</f>
        <v>0</v>
      </c>
      <c r="K147" s="133">
        <f>+D147+F147-J147+E147-I147+G147</f>
        <v>0</v>
      </c>
      <c r="N147" s="128"/>
    </row>
    <row r="148" spans="1:14" ht="12" customHeight="1">
      <c r="A148" s="240"/>
      <c r="B148" s="129" t="s">
        <v>11</v>
      </c>
      <c r="C148" s="130"/>
      <c r="D148" s="131"/>
      <c r="E148" s="129"/>
      <c r="F148" s="129"/>
      <c r="G148" s="129"/>
      <c r="H148" s="129"/>
      <c r="I148" s="135"/>
      <c r="J148" s="132">
        <f>+C148+E148-I148+D148-G148+F148</f>
        <v>0</v>
      </c>
      <c r="K148" s="133">
        <f>+D148+F148-J148+E148-I148+G148</f>
        <v>0</v>
      </c>
      <c r="N148" s="128"/>
    </row>
    <row r="149" spans="1:14" ht="11.25" customHeight="1">
      <c r="A149" s="240"/>
      <c r="B149" s="145" t="s">
        <v>124</v>
      </c>
      <c r="C149" s="146"/>
      <c r="D149" s="145">
        <f t="shared" ref="D149:I149" si="13">SUM(D145:D148)</f>
        <v>0</v>
      </c>
      <c r="E149" s="145">
        <f t="shared" si="13"/>
        <v>0</v>
      </c>
      <c r="F149" s="145">
        <f t="shared" si="13"/>
        <v>0</v>
      </c>
      <c r="G149" s="145">
        <f t="shared" si="13"/>
        <v>0</v>
      </c>
      <c r="H149" s="145">
        <f t="shared" si="13"/>
        <v>0</v>
      </c>
      <c r="I149" s="145">
        <f t="shared" si="13"/>
        <v>0</v>
      </c>
      <c r="J149" s="148">
        <f>J145+J147+J148</f>
        <v>0</v>
      </c>
      <c r="K149" s="139">
        <f>K145+K147+K148</f>
        <v>0</v>
      </c>
      <c r="N149" s="128"/>
    </row>
    <row r="150" spans="1:14" ht="10.5" customHeight="1">
      <c r="A150" s="240" t="s">
        <v>134</v>
      </c>
      <c r="B150" s="123" t="s">
        <v>8</v>
      </c>
      <c r="C150" s="124"/>
      <c r="D150" s="123"/>
      <c r="E150" s="123"/>
      <c r="F150" s="123"/>
      <c r="G150" s="123"/>
      <c r="H150" s="123"/>
      <c r="I150" s="125"/>
      <c r="J150" s="126">
        <f>+C150+E150-I150+D150-G150+F150</f>
        <v>0</v>
      </c>
      <c r="K150" s="141">
        <f>+D150+F150-J150+E150-I150+G150</f>
        <v>0</v>
      </c>
      <c r="N150" s="128"/>
    </row>
    <row r="151" spans="1:14" ht="15.75" hidden="1" customHeight="1">
      <c r="A151" s="240"/>
      <c r="B151" s="129" t="s">
        <v>20</v>
      </c>
      <c r="C151" s="130"/>
      <c r="D151" s="131"/>
      <c r="E151" s="129"/>
      <c r="F151" s="129"/>
      <c r="G151" s="129"/>
      <c r="H151" s="129"/>
      <c r="I151" s="129"/>
      <c r="J151" s="132">
        <f>+C151+E151-I151+D151-G151+F151</f>
        <v>0</v>
      </c>
      <c r="K151" s="133">
        <f>+D151+F151-J151+E151-I151+G151</f>
        <v>0</v>
      </c>
      <c r="N151" s="128"/>
    </row>
    <row r="152" spans="1:14" ht="12" customHeight="1">
      <c r="A152" s="240"/>
      <c r="B152" s="129" t="s">
        <v>10</v>
      </c>
      <c r="C152" s="130"/>
      <c r="D152" s="131"/>
      <c r="E152" s="129"/>
      <c r="F152" s="134"/>
      <c r="G152" s="129"/>
      <c r="H152" s="129"/>
      <c r="I152" s="135"/>
      <c r="J152" s="132">
        <f>+C152+E152-I152+D152-G152+F152</f>
        <v>0</v>
      </c>
      <c r="K152" s="133">
        <f>+D152+F152-J152+E152-I152+G152</f>
        <v>0</v>
      </c>
      <c r="N152" s="128"/>
    </row>
    <row r="153" spans="1:14" ht="10.5" customHeight="1">
      <c r="A153" s="240"/>
      <c r="B153" s="129" t="s">
        <v>11</v>
      </c>
      <c r="C153" s="130"/>
      <c r="D153" s="131"/>
      <c r="E153" s="129"/>
      <c r="F153" s="129"/>
      <c r="G153" s="129"/>
      <c r="H153" s="129"/>
      <c r="I153" s="135"/>
      <c r="J153" s="132">
        <f>+C153+E153-I153+D153-G153+F153</f>
        <v>0</v>
      </c>
      <c r="K153" s="133">
        <f>+D153+F153-J153+E153-I153+G153</f>
        <v>0</v>
      </c>
      <c r="N153" s="128"/>
    </row>
    <row r="154" spans="1:14" ht="9" customHeight="1">
      <c r="A154" s="240"/>
      <c r="B154" s="145" t="s">
        <v>124</v>
      </c>
      <c r="C154" s="146"/>
      <c r="D154" s="145">
        <f t="shared" ref="D154:I154" si="14">SUM(D150:D153)</f>
        <v>0</v>
      </c>
      <c r="E154" s="145">
        <f t="shared" si="14"/>
        <v>0</v>
      </c>
      <c r="F154" s="145">
        <f t="shared" si="14"/>
        <v>0</v>
      </c>
      <c r="G154" s="145">
        <f t="shared" si="14"/>
        <v>0</v>
      </c>
      <c r="H154" s="145">
        <f t="shared" si="14"/>
        <v>0</v>
      </c>
      <c r="I154" s="145">
        <f t="shared" si="14"/>
        <v>0</v>
      </c>
      <c r="J154" s="148">
        <f>J150+J152+J153</f>
        <v>0</v>
      </c>
      <c r="K154" s="149">
        <f>K150+K152+K153</f>
        <v>0</v>
      </c>
      <c r="N154" s="128"/>
    </row>
    <row r="155" spans="1:14" ht="13.5" hidden="1" customHeight="1">
      <c r="A155" s="35"/>
      <c r="J155" s="36"/>
    </row>
    <row r="156" spans="1:14" ht="12" customHeight="1">
      <c r="A156" s="243" t="s">
        <v>135</v>
      </c>
      <c r="B156" s="123" t="s">
        <v>8</v>
      </c>
      <c r="C156" s="124"/>
      <c r="D156" s="123"/>
      <c r="E156" s="123"/>
      <c r="F156" s="123"/>
      <c r="G156" s="123"/>
      <c r="H156" s="123"/>
      <c r="I156" s="125"/>
      <c r="J156" s="126">
        <f>+C156+E156-I156+D156-G156+F156</f>
        <v>0</v>
      </c>
      <c r="K156" s="127">
        <f>+D156+F156-J156+E156-I156+G156</f>
        <v>0</v>
      </c>
      <c r="N156" s="128"/>
    </row>
    <row r="157" spans="1:14" ht="15.75" hidden="1" customHeight="1">
      <c r="A157" s="243"/>
      <c r="B157" s="129" t="s">
        <v>20</v>
      </c>
      <c r="C157" s="130"/>
      <c r="D157" s="131"/>
      <c r="E157" s="129"/>
      <c r="F157" s="129"/>
      <c r="G157" s="129"/>
      <c r="H157" s="129"/>
      <c r="I157" s="129"/>
      <c r="J157" s="132">
        <f>+C157+E157-I157+D157-G157+F157</f>
        <v>0</v>
      </c>
      <c r="K157" s="133">
        <f>+D157+F157-J157+E157-I157+G157</f>
        <v>0</v>
      </c>
      <c r="N157" s="128"/>
    </row>
    <row r="158" spans="1:14" ht="10.5" customHeight="1">
      <c r="A158" s="243"/>
      <c r="B158" s="129" t="s">
        <v>10</v>
      </c>
      <c r="C158" s="130"/>
      <c r="D158" s="131"/>
      <c r="E158" s="129"/>
      <c r="F158" s="134"/>
      <c r="G158" s="129"/>
      <c r="H158" s="129"/>
      <c r="I158" s="135"/>
      <c r="J158" s="132">
        <f>+C158+E158-I158+D158-G158+F158</f>
        <v>0</v>
      </c>
      <c r="K158" s="133">
        <f>+D158+F158-J158+E158-I158+G158</f>
        <v>0</v>
      </c>
      <c r="N158" s="128"/>
    </row>
    <row r="159" spans="1:14" ht="12" customHeight="1">
      <c r="A159" s="243"/>
      <c r="B159" s="129" t="s">
        <v>11</v>
      </c>
      <c r="C159" s="130"/>
      <c r="D159" s="131"/>
      <c r="E159" s="129"/>
      <c r="F159" s="129"/>
      <c r="G159" s="129"/>
      <c r="H159" s="129"/>
      <c r="I159" s="135"/>
      <c r="J159" s="132">
        <f>+C159+E159-I159+D159-G159-H159+F159</f>
        <v>0</v>
      </c>
      <c r="K159" s="133">
        <f>+D159+F159-J159+E159-I159+G159</f>
        <v>0</v>
      </c>
      <c r="N159" s="128"/>
    </row>
    <row r="160" spans="1:14" ht="12.75" customHeight="1">
      <c r="A160" s="243"/>
      <c r="B160" s="145" t="s">
        <v>124</v>
      </c>
      <c r="C160" s="137"/>
      <c r="D160" s="145">
        <f t="shared" ref="D160:K160" si="15">SUM(D156:D159)</f>
        <v>0</v>
      </c>
      <c r="E160" s="145">
        <f t="shared" si="15"/>
        <v>0</v>
      </c>
      <c r="F160" s="145">
        <f t="shared" si="15"/>
        <v>0</v>
      </c>
      <c r="G160" s="145">
        <f t="shared" si="15"/>
        <v>0</v>
      </c>
      <c r="H160" s="145">
        <f t="shared" si="15"/>
        <v>0</v>
      </c>
      <c r="I160" s="145">
        <f t="shared" si="15"/>
        <v>0</v>
      </c>
      <c r="J160" s="148">
        <f t="shared" si="15"/>
        <v>0</v>
      </c>
      <c r="K160" s="139">
        <f t="shared" si="15"/>
        <v>0</v>
      </c>
      <c r="N160" s="128"/>
    </row>
    <row r="161" spans="1:14" ht="12" customHeight="1">
      <c r="A161" s="240" t="s">
        <v>136</v>
      </c>
      <c r="B161" s="123" t="s">
        <v>8</v>
      </c>
      <c r="C161" s="124"/>
      <c r="D161" s="123"/>
      <c r="E161" s="123"/>
      <c r="F161" s="123"/>
      <c r="G161" s="123"/>
      <c r="H161" s="123"/>
      <c r="I161" s="125"/>
      <c r="J161" s="126">
        <f>+C161+E161-I161+D161-G161+F161</f>
        <v>0</v>
      </c>
      <c r="K161" s="141">
        <f>+D161+F161-J161+E161-I161+G161</f>
        <v>0</v>
      </c>
      <c r="N161" s="128"/>
    </row>
    <row r="162" spans="1:14" ht="15.75" hidden="1" customHeight="1">
      <c r="A162" s="240"/>
      <c r="B162" s="129" t="s">
        <v>20</v>
      </c>
      <c r="C162" s="130"/>
      <c r="D162" s="131"/>
      <c r="E162" s="129"/>
      <c r="F162" s="129"/>
      <c r="G162" s="129"/>
      <c r="H162" s="129"/>
      <c r="I162" s="129"/>
      <c r="J162" s="132">
        <f>+C162+E162-I162+D162-G162+F162</f>
        <v>0</v>
      </c>
      <c r="K162" s="133">
        <f>+D162+F162-J162+E162-I162+G162</f>
        <v>0</v>
      </c>
      <c r="N162" s="128"/>
    </row>
    <row r="163" spans="1:14" ht="11.25" customHeight="1">
      <c r="A163" s="240"/>
      <c r="B163" s="129" t="s">
        <v>10</v>
      </c>
      <c r="C163" s="130"/>
      <c r="D163" s="131"/>
      <c r="E163" s="129"/>
      <c r="F163" s="134"/>
      <c r="G163" s="129"/>
      <c r="H163" s="129"/>
      <c r="I163" s="135"/>
      <c r="J163" s="132">
        <f>+C163+E163-I163+D163-G163+F163</f>
        <v>0</v>
      </c>
      <c r="K163" s="133">
        <f>+D163+F163-J163+E163-I163+G163</f>
        <v>0</v>
      </c>
      <c r="N163" s="128"/>
    </row>
    <row r="164" spans="1:14" ht="10.5" customHeight="1">
      <c r="A164" s="240"/>
      <c r="B164" s="129" t="s">
        <v>11</v>
      </c>
      <c r="C164" s="130"/>
      <c r="D164" s="131"/>
      <c r="E164" s="129"/>
      <c r="F164" s="129"/>
      <c r="G164" s="129"/>
      <c r="H164" s="129"/>
      <c r="I164" s="135"/>
      <c r="J164" s="132">
        <f>+C164+E164-I164+D164-G164+F164</f>
        <v>0</v>
      </c>
      <c r="K164" s="133">
        <f>+D164+F164-J164+E164-I164+G164</f>
        <v>0</v>
      </c>
      <c r="N164" s="128"/>
    </row>
    <row r="165" spans="1:14" ht="12" customHeight="1">
      <c r="A165" s="240"/>
      <c r="B165" s="145" t="s">
        <v>124</v>
      </c>
      <c r="C165" s="137"/>
      <c r="D165" s="145">
        <f t="shared" ref="D165:K165" si="16">SUM(D161:D164)</f>
        <v>0</v>
      </c>
      <c r="E165" s="145">
        <f t="shared" si="16"/>
        <v>0</v>
      </c>
      <c r="F165" s="145">
        <f t="shared" si="16"/>
        <v>0</v>
      </c>
      <c r="G165" s="145">
        <f t="shared" si="16"/>
        <v>0</v>
      </c>
      <c r="H165" s="145">
        <f t="shared" si="16"/>
        <v>0</v>
      </c>
      <c r="I165" s="145">
        <f t="shared" si="16"/>
        <v>0</v>
      </c>
      <c r="J165" s="148">
        <f t="shared" si="16"/>
        <v>0</v>
      </c>
      <c r="K165" s="149">
        <f t="shared" si="16"/>
        <v>0</v>
      </c>
      <c r="N165" s="128"/>
    </row>
    <row r="166" spans="1:14" ht="12" customHeight="1">
      <c r="A166" s="240" t="s">
        <v>137</v>
      </c>
      <c r="B166" s="123" t="s">
        <v>8</v>
      </c>
      <c r="C166" s="124"/>
      <c r="D166" s="123"/>
      <c r="E166" s="123"/>
      <c r="F166" s="123"/>
      <c r="G166" s="123"/>
      <c r="H166" s="123"/>
      <c r="I166" s="125"/>
      <c r="J166" s="126">
        <f>+C166+E166-I166+D166-G166+F166</f>
        <v>0</v>
      </c>
      <c r="K166" s="127">
        <f>+D166+F166-J166+E166-I166+G166</f>
        <v>0</v>
      </c>
      <c r="N166" s="128"/>
    </row>
    <row r="167" spans="1:14" ht="15.75" hidden="1" customHeight="1">
      <c r="A167" s="240"/>
      <c r="B167" s="129" t="s">
        <v>20</v>
      </c>
      <c r="C167" s="130"/>
      <c r="D167" s="131"/>
      <c r="E167" s="129"/>
      <c r="F167" s="129"/>
      <c r="G167" s="129"/>
      <c r="H167" s="129"/>
      <c r="I167" s="129"/>
      <c r="J167" s="132">
        <f>+C167+E167-I167+D167-G167+F167</f>
        <v>0</v>
      </c>
      <c r="K167" s="133">
        <f>+D167+F167-J167+E167-I167+G167</f>
        <v>0</v>
      </c>
      <c r="N167" s="128"/>
    </row>
    <row r="168" spans="1:14" ht="11.25" customHeight="1">
      <c r="A168" s="240"/>
      <c r="B168" s="129" t="s">
        <v>10</v>
      </c>
      <c r="C168" s="130"/>
      <c r="D168" s="131"/>
      <c r="E168" s="129"/>
      <c r="F168" s="134"/>
      <c r="G168" s="129"/>
      <c r="H168" s="129"/>
      <c r="I168" s="135"/>
      <c r="J168" s="132">
        <f>+C168+E168-I168+D168-G168+F168</f>
        <v>0</v>
      </c>
      <c r="K168" s="133">
        <f>+D168+F168-J168+E168-I168+G168</f>
        <v>0</v>
      </c>
      <c r="N168" s="128"/>
    </row>
    <row r="169" spans="1:14" ht="11.25" customHeight="1">
      <c r="A169" s="240"/>
      <c r="B169" s="129" t="s">
        <v>11</v>
      </c>
      <c r="C169" s="130"/>
      <c r="D169" s="131"/>
      <c r="E169" s="129"/>
      <c r="F169" s="129"/>
      <c r="G169" s="129"/>
      <c r="H169" s="129"/>
      <c r="I169" s="135"/>
      <c r="J169" s="132">
        <f>+C169+E169-I169+D169-G169+F169</f>
        <v>0</v>
      </c>
      <c r="K169" s="133">
        <f>+D169+F169-J169+E169-I169+G169</f>
        <v>0</v>
      </c>
      <c r="N169" s="128"/>
    </row>
    <row r="170" spans="1:14" ht="10.5" customHeight="1">
      <c r="A170" s="240"/>
      <c r="B170" s="145" t="s">
        <v>124</v>
      </c>
      <c r="C170" s="137"/>
      <c r="D170" s="145">
        <f t="shared" ref="D170:K170" si="17">SUM(D166:D169)</f>
        <v>0</v>
      </c>
      <c r="E170" s="145">
        <f t="shared" si="17"/>
        <v>0</v>
      </c>
      <c r="F170" s="145">
        <f t="shared" si="17"/>
        <v>0</v>
      </c>
      <c r="G170" s="145">
        <f t="shared" si="17"/>
        <v>0</v>
      </c>
      <c r="H170" s="145">
        <f t="shared" si="17"/>
        <v>0</v>
      </c>
      <c r="I170" s="145">
        <f t="shared" si="17"/>
        <v>0</v>
      </c>
      <c r="J170" s="148">
        <f t="shared" si="17"/>
        <v>0</v>
      </c>
      <c r="K170" s="139">
        <f t="shared" si="17"/>
        <v>0</v>
      </c>
      <c r="N170" s="128"/>
    </row>
    <row r="171" spans="1:14" ht="10.5" customHeight="1">
      <c r="A171" s="247" t="s">
        <v>138</v>
      </c>
      <c r="B171" s="123" t="s">
        <v>8</v>
      </c>
      <c r="C171" s="124"/>
      <c r="D171" s="123"/>
      <c r="E171" s="123"/>
      <c r="F171" s="123"/>
      <c r="G171" s="123"/>
      <c r="H171" s="123"/>
      <c r="I171" s="125"/>
      <c r="J171" s="126">
        <f>+C171+E171-I171+D171-G171+F171</f>
        <v>0</v>
      </c>
      <c r="K171" s="158">
        <f>K161+K127+K122+K117+K112+K102+K97+K135+K145+K140+K150+K156+K166</f>
        <v>0</v>
      </c>
      <c r="N171" s="128"/>
    </row>
    <row r="172" spans="1:14" ht="16.5" hidden="1" customHeight="1">
      <c r="A172" s="247"/>
      <c r="B172" s="129" t="s">
        <v>20</v>
      </c>
      <c r="C172" s="130"/>
      <c r="D172" s="131"/>
      <c r="E172" s="129"/>
      <c r="F172" s="129"/>
      <c r="G172" s="129"/>
      <c r="H172" s="129"/>
      <c r="I172" s="129"/>
      <c r="J172" s="132">
        <f>+C172+E172-I172+D172-G172+F172</f>
        <v>0</v>
      </c>
      <c r="K172" s="159"/>
      <c r="N172" s="128"/>
    </row>
    <row r="173" spans="1:14" ht="13.5" customHeight="1">
      <c r="A173" s="247"/>
      <c r="B173" s="129" t="s">
        <v>10</v>
      </c>
      <c r="C173" s="130"/>
      <c r="D173" s="131"/>
      <c r="E173" s="129"/>
      <c r="F173" s="134"/>
      <c r="G173" s="129"/>
      <c r="H173" s="129"/>
      <c r="I173" s="135"/>
      <c r="J173" s="132">
        <f>+C173+E173-I173+D173-G173+F173</f>
        <v>0</v>
      </c>
      <c r="K173" s="159"/>
      <c r="N173" s="128"/>
    </row>
    <row r="174" spans="1:14" ht="11.25" customHeight="1">
      <c r="A174" s="247"/>
      <c r="B174" s="129" t="s">
        <v>11</v>
      </c>
      <c r="C174" s="130"/>
      <c r="D174" s="131"/>
      <c r="E174" s="129"/>
      <c r="F174" s="129"/>
      <c r="G174" s="129"/>
      <c r="H174" s="129"/>
      <c r="I174" s="135"/>
      <c r="J174" s="132">
        <f>+C174+E174-I174+D174-G174+F174</f>
        <v>0</v>
      </c>
      <c r="K174" s="159"/>
      <c r="N174" s="128"/>
    </row>
    <row r="175" spans="1:14" ht="14.25" customHeight="1">
      <c r="A175" s="247"/>
      <c r="B175" s="136" t="s">
        <v>124</v>
      </c>
      <c r="C175" s="146"/>
      <c r="D175" s="145">
        <f t="shared" ref="D175:J175" si="18">SUM(D171:D174)</f>
        <v>0</v>
      </c>
      <c r="E175" s="145">
        <f t="shared" si="18"/>
        <v>0</v>
      </c>
      <c r="F175" s="145">
        <f t="shared" si="18"/>
        <v>0</v>
      </c>
      <c r="G175" s="145">
        <f t="shared" si="18"/>
        <v>0</v>
      </c>
      <c r="H175" s="145">
        <f t="shared" si="18"/>
        <v>0</v>
      </c>
      <c r="I175" s="136">
        <f t="shared" si="18"/>
        <v>0</v>
      </c>
      <c r="J175" s="138">
        <f t="shared" si="18"/>
        <v>0</v>
      </c>
      <c r="K175" s="159"/>
      <c r="N175" s="128"/>
    </row>
    <row r="176" spans="1:14" ht="12" customHeight="1">
      <c r="A176" s="247" t="s">
        <v>139</v>
      </c>
      <c r="B176" s="123" t="s">
        <v>8</v>
      </c>
      <c r="C176" s="151"/>
      <c r="D176" s="123"/>
      <c r="E176" s="123"/>
      <c r="F176" s="123"/>
      <c r="G176" s="123"/>
      <c r="H176" s="123"/>
      <c r="I176" s="125"/>
      <c r="J176" s="126">
        <f>+C176+E176-I176+D176-G176+F176</f>
        <v>0</v>
      </c>
      <c r="K176" s="159"/>
      <c r="N176" s="128"/>
    </row>
    <row r="177" spans="1:14" ht="14.25" hidden="1" customHeight="1">
      <c r="A177" s="247"/>
      <c r="B177" s="129" t="s">
        <v>20</v>
      </c>
      <c r="C177" s="130"/>
      <c r="D177" s="131"/>
      <c r="E177" s="129"/>
      <c r="F177" s="129"/>
      <c r="G177" s="129"/>
      <c r="H177" s="129"/>
      <c r="I177" s="129"/>
      <c r="J177" s="132">
        <f>+C177+E177-I177+D177-G177+F177</f>
        <v>0</v>
      </c>
      <c r="K177" s="159"/>
      <c r="N177" s="128"/>
    </row>
    <row r="178" spans="1:14" ht="12.75" customHeight="1">
      <c r="A178" s="247"/>
      <c r="B178" s="129" t="s">
        <v>10</v>
      </c>
      <c r="C178" s="130"/>
      <c r="D178" s="131"/>
      <c r="E178" s="129"/>
      <c r="F178" s="134"/>
      <c r="G178" s="129"/>
      <c r="H178" s="129"/>
      <c r="I178" s="135"/>
      <c r="J178" s="132">
        <f>+C178+E178-I178+D178-G178+F178</f>
        <v>0</v>
      </c>
      <c r="K178" s="159"/>
      <c r="N178" s="128"/>
    </row>
    <row r="179" spans="1:14" ht="10.5" customHeight="1">
      <c r="A179" s="247"/>
      <c r="B179" s="129" t="s">
        <v>11</v>
      </c>
      <c r="C179" s="130"/>
      <c r="D179" s="131"/>
      <c r="E179" s="129"/>
      <c r="F179" s="129"/>
      <c r="G179" s="129"/>
      <c r="H179" s="129"/>
      <c r="I179" s="135"/>
      <c r="J179" s="132">
        <f>+C179+E179-I179+D179-G179+F179</f>
        <v>0</v>
      </c>
      <c r="K179" s="159"/>
      <c r="N179" s="128"/>
    </row>
    <row r="180" spans="1:14" ht="12.75" customHeight="1">
      <c r="A180" s="247"/>
      <c r="B180" s="136" t="s">
        <v>124</v>
      </c>
      <c r="C180" s="146"/>
      <c r="D180" s="145">
        <f t="shared" ref="D180:J180" si="19">SUM(D176:D179)</f>
        <v>0</v>
      </c>
      <c r="E180" s="145">
        <f t="shared" si="19"/>
        <v>0</v>
      </c>
      <c r="F180" s="145">
        <f t="shared" si="19"/>
        <v>0</v>
      </c>
      <c r="G180" s="145">
        <f t="shared" si="19"/>
        <v>0</v>
      </c>
      <c r="H180" s="145">
        <f t="shared" si="19"/>
        <v>0</v>
      </c>
      <c r="I180" s="145">
        <f t="shared" si="19"/>
        <v>0</v>
      </c>
      <c r="J180" s="148">
        <f t="shared" si="19"/>
        <v>0</v>
      </c>
      <c r="K180" s="159"/>
      <c r="N180" s="128"/>
    </row>
    <row r="181" spans="1:14" ht="10.5" customHeight="1">
      <c r="A181" s="248" t="s">
        <v>140</v>
      </c>
      <c r="B181" s="123" t="s">
        <v>8</v>
      </c>
      <c r="C181" s="151"/>
      <c r="D181" s="123"/>
      <c r="E181" s="123"/>
      <c r="F181" s="123"/>
      <c r="G181" s="123"/>
      <c r="H181" s="123"/>
      <c r="I181" s="152"/>
      <c r="J181" s="153">
        <f>+C181+E181-I181+D181-G181+F181</f>
        <v>0</v>
      </c>
      <c r="K181" s="159"/>
      <c r="N181" s="128"/>
    </row>
    <row r="182" spans="1:14" ht="16.5" hidden="1" customHeight="1">
      <c r="A182" s="248"/>
      <c r="B182" s="129" t="s">
        <v>20</v>
      </c>
      <c r="C182" s="130"/>
      <c r="D182" s="131"/>
      <c r="E182" s="129"/>
      <c r="F182" s="129"/>
      <c r="G182" s="129"/>
      <c r="H182" s="129"/>
      <c r="I182" s="129"/>
      <c r="J182" s="132">
        <f>+C182+E182-I182+D182-G182+F182</f>
        <v>0</v>
      </c>
      <c r="K182" s="159"/>
      <c r="N182" s="128"/>
    </row>
    <row r="183" spans="1:14" ht="12.75" customHeight="1">
      <c r="A183" s="248"/>
      <c r="B183" s="129" t="s">
        <v>10</v>
      </c>
      <c r="C183" s="130"/>
      <c r="D183" s="131"/>
      <c r="E183" s="129"/>
      <c r="F183" s="134"/>
      <c r="G183" s="129"/>
      <c r="H183" s="129"/>
      <c r="I183" s="135"/>
      <c r="J183" s="132">
        <f>+C183+E183-I183+D183-G183+F183</f>
        <v>0</v>
      </c>
      <c r="K183" s="159"/>
      <c r="N183" s="128"/>
    </row>
    <row r="184" spans="1:14" ht="11.25" customHeight="1">
      <c r="A184" s="248"/>
      <c r="B184" s="129" t="s">
        <v>11</v>
      </c>
      <c r="C184" s="130"/>
      <c r="D184" s="131"/>
      <c r="E184" s="129"/>
      <c r="F184" s="129"/>
      <c r="G184" s="129"/>
      <c r="H184" s="129"/>
      <c r="I184" s="135"/>
      <c r="J184" s="132">
        <f>+C184+E184-I184+D184-G184+F184</f>
        <v>0</v>
      </c>
      <c r="K184" s="159"/>
      <c r="N184" s="128"/>
    </row>
    <row r="185" spans="1:14" ht="12" customHeight="1">
      <c r="A185" s="248"/>
      <c r="B185" s="145" t="s">
        <v>124</v>
      </c>
      <c r="C185" s="146"/>
      <c r="D185" s="145">
        <f>SUM(D181:D184)</f>
        <v>0</v>
      </c>
      <c r="E185" s="145">
        <f>SUM(E181:E184)</f>
        <v>0</v>
      </c>
      <c r="F185" s="145">
        <f>SUM(F181:F184)</f>
        <v>0</v>
      </c>
      <c r="G185" s="145">
        <f>SUM(G181:G184)</f>
        <v>0</v>
      </c>
      <c r="H185" s="145"/>
      <c r="I185" s="145">
        <f>SUM(I181:I184)</f>
        <v>0</v>
      </c>
      <c r="J185" s="148">
        <f>SUM(J181:J184)</f>
        <v>0</v>
      </c>
      <c r="K185" s="159"/>
      <c r="N185" s="128"/>
    </row>
    <row r="186" spans="1:14" ht="10.5" customHeight="1">
      <c r="A186" s="249" t="s">
        <v>141</v>
      </c>
      <c r="B186" s="131" t="s">
        <v>8</v>
      </c>
      <c r="C186" s="151"/>
      <c r="D186" s="123"/>
      <c r="E186" s="123"/>
      <c r="F186" s="123"/>
      <c r="G186" s="123"/>
      <c r="H186" s="123"/>
      <c r="I186" s="152"/>
      <c r="J186" s="153">
        <f>+C186+E186-I186+D186-G186+F186</f>
        <v>0</v>
      </c>
      <c r="K186" s="159"/>
      <c r="N186" s="128"/>
    </row>
    <row r="187" spans="1:14" hidden="1">
      <c r="A187" s="249"/>
      <c r="B187" s="131"/>
      <c r="C187" s="151"/>
      <c r="D187" s="131"/>
      <c r="E187" s="129"/>
      <c r="F187" s="129"/>
      <c r="G187" s="129"/>
      <c r="H187" s="129"/>
      <c r="I187" s="129"/>
      <c r="J187" s="132"/>
      <c r="K187" s="159"/>
      <c r="N187" s="128"/>
    </row>
    <row r="188" spans="1:14" ht="10.5" customHeight="1">
      <c r="A188" s="249"/>
      <c r="B188" s="129" t="s">
        <v>10</v>
      </c>
      <c r="C188" s="130"/>
      <c r="D188" s="131"/>
      <c r="E188" s="129"/>
      <c r="F188" s="134"/>
      <c r="G188" s="129"/>
      <c r="H188" s="129"/>
      <c r="I188" s="135"/>
      <c r="J188" s="132">
        <f>+C188+E188-I188+D188-G188+F188</f>
        <v>0</v>
      </c>
      <c r="K188" s="159"/>
      <c r="N188" s="128"/>
    </row>
    <row r="189" spans="1:14" ht="11.25" customHeight="1">
      <c r="A189" s="249"/>
      <c r="B189" s="129" t="s">
        <v>11</v>
      </c>
      <c r="C189" s="130"/>
      <c r="D189" s="131"/>
      <c r="E189" s="129"/>
      <c r="F189" s="129"/>
      <c r="G189" s="129"/>
      <c r="H189" s="129"/>
      <c r="I189" s="135"/>
      <c r="J189" s="132">
        <f>+C189+E189-I189+D189-G189+F189</f>
        <v>0</v>
      </c>
      <c r="K189" s="159"/>
      <c r="N189" s="128"/>
    </row>
    <row r="190" spans="1:14" ht="12" customHeight="1">
      <c r="A190" s="249"/>
      <c r="B190" s="145" t="s">
        <v>124</v>
      </c>
      <c r="C190" s="137"/>
      <c r="D190" s="145">
        <f t="shared" ref="D190:J190" si="20">SUM(D186:D189)</f>
        <v>0</v>
      </c>
      <c r="E190" s="145">
        <f t="shared" si="20"/>
        <v>0</v>
      </c>
      <c r="F190" s="145">
        <f t="shared" si="20"/>
        <v>0</v>
      </c>
      <c r="G190" s="145">
        <f t="shared" si="20"/>
        <v>0</v>
      </c>
      <c r="H190" s="145">
        <f t="shared" si="20"/>
        <v>0</v>
      </c>
      <c r="I190" s="145">
        <f t="shared" si="20"/>
        <v>0</v>
      </c>
      <c r="J190" s="148">
        <f t="shared" si="20"/>
        <v>0</v>
      </c>
      <c r="K190" s="159"/>
      <c r="N190" s="128"/>
    </row>
    <row r="191" spans="1:14" ht="11.25" customHeight="1">
      <c r="A191" s="248" t="s">
        <v>142</v>
      </c>
      <c r="B191" s="123" t="s">
        <v>8</v>
      </c>
      <c r="C191" s="124"/>
      <c r="D191" s="123"/>
      <c r="E191" s="123"/>
      <c r="F191" s="123"/>
      <c r="G191" s="123"/>
      <c r="H191" s="123"/>
      <c r="I191" s="125"/>
      <c r="J191" s="126">
        <f>+C191+E191-I191+D191-G191+F191</f>
        <v>0</v>
      </c>
      <c r="K191" s="159"/>
      <c r="N191" s="128"/>
    </row>
    <row r="192" spans="1:14" hidden="1">
      <c r="A192" s="248"/>
      <c r="B192" s="131"/>
      <c r="C192" s="151"/>
      <c r="D192" s="131"/>
      <c r="E192" s="129"/>
      <c r="F192" s="129"/>
      <c r="G192" s="129"/>
      <c r="H192" s="129"/>
      <c r="I192" s="129"/>
      <c r="J192" s="132"/>
      <c r="K192" s="159"/>
      <c r="N192" s="128"/>
    </row>
    <row r="193" spans="1:14" ht="10.5" customHeight="1">
      <c r="A193" s="248"/>
      <c r="B193" s="129" t="s">
        <v>10</v>
      </c>
      <c r="C193" s="130"/>
      <c r="D193" s="131"/>
      <c r="E193" s="129"/>
      <c r="F193" s="134"/>
      <c r="G193" s="129"/>
      <c r="H193" s="129"/>
      <c r="I193" s="135"/>
      <c r="J193" s="132">
        <f>+C193+E193-I193+D193-G193+F193</f>
        <v>0</v>
      </c>
      <c r="K193" s="159"/>
      <c r="N193" s="128"/>
    </row>
    <row r="194" spans="1:14" ht="11.25" customHeight="1">
      <c r="A194" s="248"/>
      <c r="B194" s="129" t="s">
        <v>11</v>
      </c>
      <c r="C194" s="130"/>
      <c r="D194" s="131"/>
      <c r="E194" s="129"/>
      <c r="F194" s="129"/>
      <c r="G194" s="129"/>
      <c r="H194" s="129"/>
      <c r="I194" s="135"/>
      <c r="J194" s="132">
        <f>+C194+E194-I194+D194-G194+F194</f>
        <v>0</v>
      </c>
      <c r="K194" s="159"/>
      <c r="N194" s="128"/>
    </row>
    <row r="195" spans="1:14" ht="11.25" customHeight="1">
      <c r="A195" s="248"/>
      <c r="B195" s="145" t="s">
        <v>124</v>
      </c>
      <c r="C195" s="137"/>
      <c r="D195" s="145">
        <f t="shared" ref="D195:J195" si="21">SUM(D191:D194)</f>
        <v>0</v>
      </c>
      <c r="E195" s="145">
        <f t="shared" si="21"/>
        <v>0</v>
      </c>
      <c r="F195" s="145">
        <f t="shared" si="21"/>
        <v>0</v>
      </c>
      <c r="G195" s="145">
        <f t="shared" si="21"/>
        <v>0</v>
      </c>
      <c r="H195" s="145">
        <f t="shared" si="21"/>
        <v>0</v>
      </c>
      <c r="I195" s="145">
        <f t="shared" si="21"/>
        <v>0</v>
      </c>
      <c r="J195" s="148">
        <f t="shared" si="21"/>
        <v>0</v>
      </c>
      <c r="K195" s="159"/>
      <c r="N195" s="128"/>
    </row>
    <row r="196" spans="1:14" ht="11.25" customHeight="1">
      <c r="A196" s="248" t="s">
        <v>143</v>
      </c>
      <c r="B196" s="123" t="s">
        <v>8</v>
      </c>
      <c r="C196" s="124"/>
      <c r="D196" s="123"/>
      <c r="E196" s="123"/>
      <c r="F196" s="129"/>
      <c r="G196" s="123"/>
      <c r="H196" s="123"/>
      <c r="I196" s="125"/>
      <c r="J196" s="126">
        <f>+C196+E196-I196+D196-G196+F196</f>
        <v>0</v>
      </c>
      <c r="K196" s="159"/>
      <c r="N196" s="128"/>
    </row>
    <row r="197" spans="1:14" ht="14.25" hidden="1" customHeight="1">
      <c r="A197" s="248"/>
      <c r="B197" s="131" t="s">
        <v>20</v>
      </c>
      <c r="C197" s="151"/>
      <c r="D197" s="131"/>
      <c r="E197" s="129"/>
      <c r="F197" s="129"/>
      <c r="G197" s="129"/>
      <c r="H197" s="129"/>
      <c r="I197" s="129"/>
      <c r="J197" s="132"/>
      <c r="K197" s="159"/>
      <c r="N197" s="128"/>
    </row>
    <row r="198" spans="1:14" ht="10.5" customHeight="1">
      <c r="A198" s="248"/>
      <c r="B198" s="129" t="s">
        <v>10</v>
      </c>
      <c r="C198" s="130"/>
      <c r="D198" s="131"/>
      <c r="E198" s="129"/>
      <c r="F198" s="134"/>
      <c r="G198" s="129"/>
      <c r="H198" s="129"/>
      <c r="I198" s="135"/>
      <c r="J198" s="132">
        <f>+C198+E198-I198+D198-G198+F198</f>
        <v>0</v>
      </c>
      <c r="K198" s="159"/>
      <c r="N198" s="128"/>
    </row>
    <row r="199" spans="1:14" ht="10.5" customHeight="1">
      <c r="A199" s="248"/>
      <c r="B199" s="129" t="s">
        <v>11</v>
      </c>
      <c r="C199" s="130"/>
      <c r="D199" s="131"/>
      <c r="E199" s="129"/>
      <c r="F199" s="129"/>
      <c r="G199" s="129"/>
      <c r="H199" s="129"/>
      <c r="I199" s="135"/>
      <c r="J199" s="132">
        <f>+C199+E199-I199+D199-G199+F199</f>
        <v>0</v>
      </c>
      <c r="K199" s="159"/>
      <c r="N199" s="128"/>
    </row>
    <row r="200" spans="1:14" ht="14.25" customHeight="1">
      <c r="A200" s="248"/>
      <c r="B200" s="145" t="s">
        <v>124</v>
      </c>
      <c r="C200" s="137"/>
      <c r="D200" s="145">
        <f t="shared" ref="D200:J200" si="22">SUM(D196:D199)</f>
        <v>0</v>
      </c>
      <c r="E200" s="145">
        <f t="shared" si="22"/>
        <v>0</v>
      </c>
      <c r="F200" s="145">
        <f t="shared" si="22"/>
        <v>0</v>
      </c>
      <c r="G200" s="145">
        <f t="shared" si="22"/>
        <v>0</v>
      </c>
      <c r="H200" s="145">
        <f t="shared" si="22"/>
        <v>0</v>
      </c>
      <c r="I200" s="145">
        <f t="shared" si="22"/>
        <v>0</v>
      </c>
      <c r="J200" s="148">
        <f t="shared" si="22"/>
        <v>0</v>
      </c>
      <c r="K200" s="159"/>
      <c r="N200" s="128"/>
    </row>
    <row r="201" spans="1:14" ht="10.5" customHeight="1">
      <c r="A201" s="248" t="s">
        <v>144</v>
      </c>
      <c r="B201" s="123" t="s">
        <v>8</v>
      </c>
      <c r="C201" s="124"/>
      <c r="D201" s="123"/>
      <c r="E201" s="123"/>
      <c r="F201" s="123"/>
      <c r="G201" s="123"/>
      <c r="H201" s="123"/>
      <c r="I201" s="125"/>
      <c r="J201" s="126">
        <f>+C201+E201-I201+D201-G201+F201</f>
        <v>0</v>
      </c>
      <c r="K201" s="159"/>
      <c r="N201" s="128"/>
    </row>
    <row r="202" spans="1:14" ht="14.25" hidden="1" customHeight="1">
      <c r="A202" s="248"/>
      <c r="B202" s="131" t="s">
        <v>20</v>
      </c>
      <c r="C202" s="151"/>
      <c r="D202" s="131"/>
      <c r="E202" s="129"/>
      <c r="F202" s="129"/>
      <c r="G202" s="129"/>
      <c r="H202" s="129"/>
      <c r="I202" s="129"/>
      <c r="J202" s="132"/>
      <c r="K202" s="159"/>
      <c r="N202" s="128"/>
    </row>
    <row r="203" spans="1:14" ht="12" customHeight="1">
      <c r="A203" s="248"/>
      <c r="B203" s="129" t="s">
        <v>10</v>
      </c>
      <c r="C203" s="130"/>
      <c r="D203" s="131"/>
      <c r="E203" s="129"/>
      <c r="F203" s="134"/>
      <c r="G203" s="129"/>
      <c r="H203" s="129"/>
      <c r="I203" s="135"/>
      <c r="J203" s="132">
        <f>+C203+E203-I203+D203-G203+F203</f>
        <v>0</v>
      </c>
      <c r="K203" s="159"/>
      <c r="N203" s="128"/>
    </row>
    <row r="204" spans="1:14" ht="11.25" customHeight="1">
      <c r="A204" s="248"/>
      <c r="B204" s="129" t="s">
        <v>11</v>
      </c>
      <c r="C204" s="130"/>
      <c r="D204" s="131"/>
      <c r="E204" s="129"/>
      <c r="F204" s="129"/>
      <c r="G204" s="129"/>
      <c r="H204" s="129"/>
      <c r="I204" s="135"/>
      <c r="J204" s="132">
        <f>+C204+E204-I204+D204-G204+F204</f>
        <v>0</v>
      </c>
      <c r="K204" s="159"/>
      <c r="N204" s="128"/>
    </row>
    <row r="205" spans="1:14" ht="12.75" customHeight="1">
      <c r="A205" s="248"/>
      <c r="B205" s="145" t="s">
        <v>124</v>
      </c>
      <c r="C205" s="146"/>
      <c r="D205" s="145">
        <f t="shared" ref="D205:J205" si="23">SUM(D201:D204)</f>
        <v>0</v>
      </c>
      <c r="E205" s="145">
        <f t="shared" si="23"/>
        <v>0</v>
      </c>
      <c r="F205" s="145">
        <f t="shared" si="23"/>
        <v>0</v>
      </c>
      <c r="G205" s="145">
        <f t="shared" si="23"/>
        <v>0</v>
      </c>
      <c r="H205" s="145">
        <f t="shared" si="23"/>
        <v>0</v>
      </c>
      <c r="I205" s="145">
        <f t="shared" si="23"/>
        <v>0</v>
      </c>
      <c r="J205" s="148">
        <f t="shared" si="23"/>
        <v>0</v>
      </c>
      <c r="K205" s="159"/>
      <c r="N205" s="128"/>
    </row>
    <row r="206" spans="1:14" ht="10.5" customHeight="1">
      <c r="A206" s="249" t="s">
        <v>145</v>
      </c>
      <c r="B206" s="131" t="s">
        <v>8</v>
      </c>
      <c r="C206" s="151"/>
      <c r="D206" s="123"/>
      <c r="E206" s="123"/>
      <c r="F206" s="123"/>
      <c r="G206" s="123"/>
      <c r="H206" s="123"/>
      <c r="I206" s="160"/>
      <c r="J206" s="153">
        <f>+C206+E206-I206+D206-G206+F206</f>
        <v>0</v>
      </c>
      <c r="K206" s="159"/>
      <c r="N206" s="128"/>
    </row>
    <row r="207" spans="1:14" ht="11.25" hidden="1" customHeight="1">
      <c r="A207" s="249"/>
      <c r="B207" s="131" t="s">
        <v>20</v>
      </c>
      <c r="C207" s="151"/>
      <c r="D207" s="131"/>
      <c r="E207" s="129"/>
      <c r="F207" s="129"/>
      <c r="G207" s="129"/>
      <c r="H207" s="129"/>
      <c r="I207" s="160"/>
      <c r="J207" s="153">
        <f>+C207+E207-I207+D207-G207+F207</f>
        <v>0</v>
      </c>
      <c r="K207" s="159"/>
      <c r="N207" s="128"/>
    </row>
    <row r="208" spans="1:14" ht="10.5" customHeight="1">
      <c r="A208" s="249"/>
      <c r="B208" s="129" t="s">
        <v>10</v>
      </c>
      <c r="C208" s="130"/>
      <c r="D208" s="131"/>
      <c r="E208" s="129"/>
      <c r="F208" s="134"/>
      <c r="G208" s="129"/>
      <c r="H208" s="129"/>
      <c r="I208" s="160"/>
      <c r="J208" s="132">
        <f>+C208+E208-I208+D208-G208+F208</f>
        <v>0</v>
      </c>
      <c r="K208" s="159"/>
      <c r="N208" s="128"/>
    </row>
    <row r="209" spans="1:14" ht="10.5" customHeight="1">
      <c r="A209" s="249"/>
      <c r="B209" s="129" t="s">
        <v>11</v>
      </c>
      <c r="C209" s="130"/>
      <c r="D209" s="131"/>
      <c r="E209" s="129"/>
      <c r="F209" s="129"/>
      <c r="G209" s="129"/>
      <c r="H209" s="129"/>
      <c r="I209" s="160"/>
      <c r="J209" s="132">
        <f>+C209+E209-I209+D209-G209+F209</f>
        <v>0</v>
      </c>
      <c r="K209" s="159"/>
      <c r="N209" s="128"/>
    </row>
    <row r="210" spans="1:14" ht="10.5" customHeight="1">
      <c r="A210" s="249"/>
      <c r="B210" s="136" t="s">
        <v>124</v>
      </c>
      <c r="C210" s="146"/>
      <c r="D210" s="145">
        <f t="shared" ref="D210:J210" si="24">SUM(D206:D209)</f>
        <v>0</v>
      </c>
      <c r="E210" s="145">
        <f t="shared" si="24"/>
        <v>0</v>
      </c>
      <c r="F210" s="145">
        <f t="shared" si="24"/>
        <v>0</v>
      </c>
      <c r="G210" s="145">
        <f t="shared" si="24"/>
        <v>0</v>
      </c>
      <c r="H210" s="145">
        <f t="shared" si="24"/>
        <v>0</v>
      </c>
      <c r="I210" s="136">
        <f t="shared" si="24"/>
        <v>0</v>
      </c>
      <c r="J210" s="138">
        <f t="shared" si="24"/>
        <v>0</v>
      </c>
      <c r="K210" s="159"/>
      <c r="N210" s="128"/>
    </row>
    <row r="211" spans="1:14" ht="12.75" customHeight="1">
      <c r="A211" s="248" t="s">
        <v>146</v>
      </c>
      <c r="B211" s="123" t="s">
        <v>8</v>
      </c>
      <c r="C211" s="151"/>
      <c r="D211" s="123"/>
      <c r="E211" s="123"/>
      <c r="F211" s="129"/>
      <c r="G211" s="123"/>
      <c r="H211" s="123"/>
      <c r="I211" s="125"/>
      <c r="J211" s="161">
        <f>+C211+E211-I211+D211-G211+F211</f>
        <v>0</v>
      </c>
      <c r="K211" s="159"/>
      <c r="N211" s="128"/>
    </row>
    <row r="212" spans="1:14" ht="10.5" hidden="1" customHeight="1">
      <c r="A212" s="248"/>
      <c r="B212" s="131" t="s">
        <v>20</v>
      </c>
      <c r="C212" s="151"/>
      <c r="D212" s="131"/>
      <c r="E212" s="129"/>
      <c r="F212" s="129"/>
      <c r="G212" s="129"/>
      <c r="H212" s="129"/>
      <c r="I212" s="129"/>
      <c r="J212" s="132">
        <f>+C212+E212-I212+D212-G212+F212</f>
        <v>0</v>
      </c>
      <c r="K212" s="159"/>
      <c r="N212" s="128"/>
    </row>
    <row r="213" spans="1:14" ht="10.5" customHeight="1">
      <c r="A213" s="248"/>
      <c r="B213" s="129" t="s">
        <v>10</v>
      </c>
      <c r="C213" s="130"/>
      <c r="D213" s="131"/>
      <c r="E213" s="129"/>
      <c r="F213" s="134"/>
      <c r="G213" s="129"/>
      <c r="H213" s="129"/>
      <c r="I213" s="135"/>
      <c r="J213" s="132">
        <f>+C213+E213-I213+D213-G213+F213</f>
        <v>0</v>
      </c>
      <c r="K213" s="159"/>
      <c r="N213" s="128"/>
    </row>
    <row r="214" spans="1:14" ht="11.25" customHeight="1">
      <c r="A214" s="248"/>
      <c r="B214" s="129" t="s">
        <v>11</v>
      </c>
      <c r="C214" s="130"/>
      <c r="D214" s="131"/>
      <c r="E214" s="129"/>
      <c r="F214" s="129"/>
      <c r="G214" s="129"/>
      <c r="H214" s="129"/>
      <c r="I214" s="135"/>
      <c r="J214" s="132">
        <f>+C214+E214-I214+D214-G214+F214</f>
        <v>0</v>
      </c>
      <c r="K214" s="159"/>
      <c r="N214" s="128"/>
    </row>
    <row r="215" spans="1:14" ht="13.5" customHeight="1">
      <c r="A215" s="248"/>
      <c r="B215" s="145" t="s">
        <v>124</v>
      </c>
      <c r="C215" s="146"/>
      <c r="D215" s="145">
        <f t="shared" ref="D215:J215" si="25">SUM(D211:D214)</f>
        <v>0</v>
      </c>
      <c r="E215" s="145">
        <f t="shared" si="25"/>
        <v>0</v>
      </c>
      <c r="F215" s="145">
        <f t="shared" si="25"/>
        <v>0</v>
      </c>
      <c r="G215" s="145">
        <f t="shared" si="25"/>
        <v>0</v>
      </c>
      <c r="H215" s="145">
        <f t="shared" si="25"/>
        <v>0</v>
      </c>
      <c r="I215" s="145">
        <f t="shared" si="25"/>
        <v>0</v>
      </c>
      <c r="J215" s="148">
        <f t="shared" si="25"/>
        <v>0</v>
      </c>
      <c r="K215" s="159"/>
      <c r="N215" s="128"/>
    </row>
    <row r="216" spans="1:14" ht="12.75" customHeight="1">
      <c r="A216" s="248" t="s">
        <v>147</v>
      </c>
      <c r="B216" s="123" t="s">
        <v>8</v>
      </c>
      <c r="C216" s="124"/>
      <c r="D216" s="123"/>
      <c r="E216" s="123"/>
      <c r="F216" s="123"/>
      <c r="G216" s="123"/>
      <c r="H216" s="123"/>
      <c r="I216" s="125"/>
      <c r="J216" s="161">
        <f>+C216+E216-I216+D216-G216+F216</f>
        <v>0</v>
      </c>
      <c r="K216" s="159"/>
      <c r="N216" s="128"/>
    </row>
    <row r="217" spans="1:14" ht="10.5" hidden="1" customHeight="1">
      <c r="A217" s="248"/>
      <c r="B217" s="131" t="s">
        <v>20</v>
      </c>
      <c r="C217" s="151"/>
      <c r="D217" s="131"/>
      <c r="E217" s="129"/>
      <c r="F217" s="129"/>
      <c r="G217" s="129"/>
      <c r="H217" s="129"/>
      <c r="I217" s="129"/>
      <c r="J217" s="132">
        <f>+C217+E217-I217+D217-G217+F217</f>
        <v>0</v>
      </c>
      <c r="K217" s="159"/>
      <c r="N217" s="128"/>
    </row>
    <row r="218" spans="1:14" ht="10.5" customHeight="1">
      <c r="A218" s="248"/>
      <c r="B218" s="129" t="s">
        <v>10</v>
      </c>
      <c r="C218" s="130"/>
      <c r="D218" s="131"/>
      <c r="E218" s="129"/>
      <c r="F218" s="134"/>
      <c r="G218" s="129"/>
      <c r="H218" s="129"/>
      <c r="I218" s="135"/>
      <c r="J218" s="132">
        <f>+C218+E218-I218+D218-G218+F218</f>
        <v>0</v>
      </c>
      <c r="K218" s="159"/>
      <c r="N218" s="128"/>
    </row>
    <row r="219" spans="1:14" ht="11.25" customHeight="1">
      <c r="A219" s="248"/>
      <c r="B219" s="129" t="s">
        <v>11</v>
      </c>
      <c r="C219" s="130"/>
      <c r="D219" s="131"/>
      <c r="E219" s="129"/>
      <c r="F219" s="129"/>
      <c r="G219" s="129"/>
      <c r="H219" s="129"/>
      <c r="I219" s="135"/>
      <c r="J219" s="132">
        <f>+C219+E219-I219+D219-G219+F219</f>
        <v>0</v>
      </c>
      <c r="K219" s="159"/>
      <c r="N219" s="128"/>
    </row>
    <row r="220" spans="1:14" ht="13.5" customHeight="1">
      <c r="A220" s="248"/>
      <c r="B220" s="145" t="s">
        <v>124</v>
      </c>
      <c r="C220" s="146"/>
      <c r="D220" s="145">
        <f t="shared" ref="D220:J220" si="26">SUM(D216:D219)</f>
        <v>0</v>
      </c>
      <c r="E220" s="145">
        <f t="shared" si="26"/>
        <v>0</v>
      </c>
      <c r="F220" s="145">
        <f t="shared" si="26"/>
        <v>0</v>
      </c>
      <c r="G220" s="145">
        <f t="shared" si="26"/>
        <v>0</v>
      </c>
      <c r="H220" s="145">
        <f t="shared" si="26"/>
        <v>0</v>
      </c>
      <c r="I220" s="145">
        <f t="shared" si="26"/>
        <v>0</v>
      </c>
      <c r="J220" s="148">
        <f t="shared" si="26"/>
        <v>0</v>
      </c>
      <c r="K220" s="159"/>
      <c r="N220" s="128"/>
    </row>
    <row r="221" spans="1:14" ht="11.25" customHeight="1">
      <c r="A221" s="248" t="s">
        <v>148</v>
      </c>
      <c r="B221" s="123" t="s">
        <v>8</v>
      </c>
      <c r="C221" s="124"/>
      <c r="D221" s="123"/>
      <c r="E221" s="123"/>
      <c r="F221" s="123"/>
      <c r="G221" s="123"/>
      <c r="H221" s="123"/>
      <c r="I221" s="125"/>
      <c r="J221" s="161">
        <f>+C221+E221-I221+D221-G221+F221</f>
        <v>0</v>
      </c>
      <c r="K221" s="159"/>
      <c r="N221" s="128"/>
    </row>
    <row r="222" spans="1:14" ht="9.75" hidden="1" customHeight="1">
      <c r="A222" s="248"/>
      <c r="B222" s="131" t="s">
        <v>20</v>
      </c>
      <c r="C222" s="151"/>
      <c r="D222" s="131"/>
      <c r="E222" s="129"/>
      <c r="F222" s="129"/>
      <c r="G222" s="129"/>
      <c r="H222" s="129"/>
      <c r="I222" s="129"/>
      <c r="J222" s="132">
        <f>+C222+E222-I222+D222-G222+F222</f>
        <v>0</v>
      </c>
      <c r="K222" s="159"/>
      <c r="N222" s="128"/>
    </row>
    <row r="223" spans="1:14" ht="11.25" customHeight="1">
      <c r="A223" s="248"/>
      <c r="B223" s="129" t="s">
        <v>10</v>
      </c>
      <c r="C223" s="130"/>
      <c r="D223" s="131"/>
      <c r="E223" s="129"/>
      <c r="F223" s="134"/>
      <c r="G223" s="129"/>
      <c r="H223" s="129"/>
      <c r="I223" s="135"/>
      <c r="J223" s="132">
        <f>+C223+E223-I223+D223-G223+F223</f>
        <v>0</v>
      </c>
      <c r="K223" s="159"/>
      <c r="N223" s="128"/>
    </row>
    <row r="224" spans="1:14" ht="11.25" customHeight="1">
      <c r="A224" s="248"/>
      <c r="B224" s="129" t="s">
        <v>11</v>
      </c>
      <c r="C224" s="130"/>
      <c r="D224" s="131"/>
      <c r="E224" s="129"/>
      <c r="F224" s="129"/>
      <c r="G224" s="129"/>
      <c r="H224" s="129"/>
      <c r="I224" s="135"/>
      <c r="J224" s="132">
        <f>+C224+E224-I224+D224-G224+F224</f>
        <v>0</v>
      </c>
      <c r="K224" s="159"/>
      <c r="N224" s="128"/>
    </row>
    <row r="225" spans="1:15" ht="13.5" customHeight="1">
      <c r="A225" s="248"/>
      <c r="B225" s="145" t="s">
        <v>124</v>
      </c>
      <c r="C225" s="146">
        <f>+C221+C223+C224</f>
        <v>0</v>
      </c>
      <c r="D225" s="145">
        <f t="shared" ref="D225:J225" si="27">SUM(D221:D224)</f>
        <v>0</v>
      </c>
      <c r="E225" s="145">
        <f t="shared" si="27"/>
        <v>0</v>
      </c>
      <c r="F225" s="145">
        <f t="shared" si="27"/>
        <v>0</v>
      </c>
      <c r="G225" s="145">
        <f t="shared" si="27"/>
        <v>0</v>
      </c>
      <c r="H225" s="145">
        <f t="shared" si="27"/>
        <v>0</v>
      </c>
      <c r="I225" s="145">
        <f t="shared" si="27"/>
        <v>0</v>
      </c>
      <c r="J225" s="148">
        <f t="shared" si="27"/>
        <v>0</v>
      </c>
      <c r="K225" s="159"/>
      <c r="N225" s="128"/>
    </row>
    <row r="226" spans="1:15" ht="13.5" customHeight="1">
      <c r="A226" s="248" t="s">
        <v>149</v>
      </c>
      <c r="B226" s="123" t="s">
        <v>8</v>
      </c>
      <c r="C226" s="124"/>
      <c r="D226" s="123"/>
      <c r="E226" s="123"/>
      <c r="F226" s="123"/>
      <c r="G226" s="123"/>
      <c r="H226" s="123"/>
      <c r="I226" s="125"/>
      <c r="J226" s="161">
        <f>+C226+E226-I226+D226-G226+F226</f>
        <v>0</v>
      </c>
      <c r="K226" s="162"/>
      <c r="N226" s="128"/>
    </row>
    <row r="227" spans="1:15" ht="13.5" hidden="1" customHeight="1">
      <c r="A227" s="248"/>
      <c r="B227" s="131" t="s">
        <v>20</v>
      </c>
      <c r="C227" s="151"/>
      <c r="D227" s="131"/>
      <c r="E227" s="129"/>
      <c r="F227" s="129"/>
      <c r="G227" s="129"/>
      <c r="H227" s="129"/>
      <c r="I227" s="129"/>
      <c r="J227" s="132">
        <f>+C227+E227-I227+D227-G227+F227</f>
        <v>0</v>
      </c>
      <c r="K227" s="162"/>
      <c r="N227" s="128"/>
    </row>
    <row r="228" spans="1:15" ht="13.5" customHeight="1">
      <c r="A228" s="248"/>
      <c r="B228" s="129" t="s">
        <v>10</v>
      </c>
      <c r="C228" s="130"/>
      <c r="D228" s="131"/>
      <c r="E228" s="129"/>
      <c r="F228" s="134"/>
      <c r="G228" s="129"/>
      <c r="H228" s="129"/>
      <c r="I228" s="135"/>
      <c r="J228" s="132">
        <f>+C228+E228-I228+D228-G228+F228</f>
        <v>0</v>
      </c>
      <c r="K228" s="162"/>
      <c r="N228" s="128"/>
    </row>
    <row r="229" spans="1:15" ht="13.5" customHeight="1">
      <c r="A229" s="248"/>
      <c r="B229" s="129" t="s">
        <v>11</v>
      </c>
      <c r="C229" s="130"/>
      <c r="D229" s="131"/>
      <c r="E229" s="129"/>
      <c r="F229" s="129"/>
      <c r="G229" s="129"/>
      <c r="H229" s="129"/>
      <c r="I229" s="135"/>
      <c r="J229" s="132">
        <f>+C229+E229-I229+D229-G229+F229</f>
        <v>0</v>
      </c>
      <c r="K229" s="162"/>
      <c r="N229" s="128"/>
    </row>
    <row r="230" spans="1:15" ht="13.5" customHeight="1">
      <c r="A230" s="248"/>
      <c r="B230" s="145" t="s">
        <v>124</v>
      </c>
      <c r="C230" s="146">
        <f>+C226+C227+C228+C229</f>
        <v>0</v>
      </c>
      <c r="D230" s="145">
        <f t="shared" ref="D230:J230" si="28">SUM(D226:D229)</f>
        <v>0</v>
      </c>
      <c r="E230" s="145">
        <f t="shared" si="28"/>
        <v>0</v>
      </c>
      <c r="F230" s="145">
        <f t="shared" si="28"/>
        <v>0</v>
      </c>
      <c r="G230" s="145">
        <f t="shared" si="28"/>
        <v>0</v>
      </c>
      <c r="H230" s="145">
        <f t="shared" si="28"/>
        <v>0</v>
      </c>
      <c r="I230" s="145">
        <f t="shared" si="28"/>
        <v>0</v>
      </c>
      <c r="J230" s="148">
        <f t="shared" si="28"/>
        <v>0</v>
      </c>
      <c r="K230" s="162"/>
      <c r="N230" s="128"/>
    </row>
    <row r="231" spans="1:15" ht="12.75" customHeight="1">
      <c r="A231" s="248" t="s">
        <v>124</v>
      </c>
      <c r="B231" s="163" t="s">
        <v>8</v>
      </c>
      <c r="C231" s="164">
        <f t="shared" ref="C231:J231" si="29">C97+C102+C107+C112+C117+C122+C127+C135+C140+C145+C150+C156+C161+C166+C171+C176+C181+C186+C191+C196+C201+C206+C211+C216+C221+C226</f>
        <v>0</v>
      </c>
      <c r="D231" s="164">
        <f t="shared" si="29"/>
        <v>0</v>
      </c>
      <c r="E231" s="164">
        <f t="shared" si="29"/>
        <v>0</v>
      </c>
      <c r="F231" s="164">
        <f t="shared" si="29"/>
        <v>0</v>
      </c>
      <c r="G231" s="164">
        <f t="shared" si="29"/>
        <v>0</v>
      </c>
      <c r="H231" s="164">
        <f t="shared" si="29"/>
        <v>0</v>
      </c>
      <c r="I231" s="164">
        <f t="shared" si="29"/>
        <v>0</v>
      </c>
      <c r="J231" s="165">
        <f t="shared" si="29"/>
        <v>0</v>
      </c>
      <c r="K231" s="162"/>
      <c r="L231" s="128"/>
      <c r="M231" s="128"/>
      <c r="N231" s="128"/>
      <c r="O231" s="128"/>
    </row>
    <row r="232" spans="1:15" ht="12" customHeight="1">
      <c r="A232" s="248"/>
      <c r="B232" s="129" t="s">
        <v>20</v>
      </c>
      <c r="C232" s="166">
        <f t="shared" ref="C232:J232" si="30">C98+C103+C108+C113+C118</f>
        <v>0</v>
      </c>
      <c r="D232" s="166">
        <f t="shared" si="30"/>
        <v>0</v>
      </c>
      <c r="E232" s="166">
        <f t="shared" si="30"/>
        <v>0</v>
      </c>
      <c r="F232" s="166">
        <f t="shared" si="30"/>
        <v>0</v>
      </c>
      <c r="G232" s="166">
        <f t="shared" si="30"/>
        <v>0</v>
      </c>
      <c r="H232" s="166">
        <f t="shared" si="30"/>
        <v>0</v>
      </c>
      <c r="I232" s="166">
        <f t="shared" si="30"/>
        <v>0</v>
      </c>
      <c r="J232" s="167">
        <f t="shared" si="30"/>
        <v>0</v>
      </c>
      <c r="K232" s="168">
        <f>K162+K128+K123+K118+K113+K103+K98+K136+K146+K141+K151+K157</f>
        <v>0</v>
      </c>
      <c r="L232" s="128"/>
      <c r="M232" s="128"/>
      <c r="N232" s="128"/>
      <c r="O232" s="128"/>
    </row>
    <row r="233" spans="1:15" ht="11.25" customHeight="1">
      <c r="A233" s="248"/>
      <c r="B233" s="129" t="s">
        <v>10</v>
      </c>
      <c r="C233" s="166">
        <f t="shared" ref="C233:J234" si="31">C99+C104+C109+C114+C119+C124+C129+C137+C142+C147+C152+C158+C163+C168+C173+C178+C183+C188+C193+C198+C203+C208+C213+C218+C223+C228</f>
        <v>0</v>
      </c>
      <c r="D233" s="166">
        <f t="shared" si="31"/>
        <v>0</v>
      </c>
      <c r="E233" s="166">
        <f t="shared" si="31"/>
        <v>0</v>
      </c>
      <c r="F233" s="166">
        <f t="shared" si="31"/>
        <v>0</v>
      </c>
      <c r="G233" s="166">
        <f t="shared" si="31"/>
        <v>0</v>
      </c>
      <c r="H233" s="166">
        <f t="shared" si="31"/>
        <v>0</v>
      </c>
      <c r="I233" s="166">
        <f t="shared" si="31"/>
        <v>0</v>
      </c>
      <c r="J233" s="167">
        <f t="shared" si="31"/>
        <v>0</v>
      </c>
      <c r="K233" s="168">
        <f>K163+K129+K124+K119+K114+K104+K99+K137+K147+K142+K152+K158+K168</f>
        <v>0</v>
      </c>
      <c r="L233" s="128"/>
      <c r="M233" s="128"/>
      <c r="N233" s="128"/>
      <c r="O233" s="128"/>
    </row>
    <row r="234" spans="1:15" ht="11.25" customHeight="1">
      <c r="A234" s="248"/>
      <c r="B234" s="129" t="s">
        <v>11</v>
      </c>
      <c r="C234" s="166">
        <f t="shared" si="31"/>
        <v>0</v>
      </c>
      <c r="D234" s="166">
        <f t="shared" si="31"/>
        <v>0</v>
      </c>
      <c r="E234" s="166">
        <f t="shared" si="31"/>
        <v>0</v>
      </c>
      <c r="F234" s="166">
        <f t="shared" si="31"/>
        <v>0</v>
      </c>
      <c r="G234" s="166">
        <f t="shared" si="31"/>
        <v>0</v>
      </c>
      <c r="H234" s="166">
        <f t="shared" si="31"/>
        <v>0</v>
      </c>
      <c r="I234" s="166">
        <f t="shared" si="31"/>
        <v>0</v>
      </c>
      <c r="J234" s="167">
        <f t="shared" si="31"/>
        <v>0</v>
      </c>
      <c r="K234" s="168">
        <f>K100+K105+K110+K115+K120+K125+K130+K138+K143+K148+K153+K159+K164+K169+K174+K179+K184+K189+K194+K199+K204+K209+K214+K219+K224</f>
        <v>0</v>
      </c>
      <c r="L234" s="128"/>
      <c r="M234" s="128"/>
      <c r="N234" s="128"/>
      <c r="O234" s="128"/>
    </row>
    <row r="235" spans="1:15" ht="11.25" customHeight="1">
      <c r="A235" s="248"/>
      <c r="B235" s="145" t="s">
        <v>124</v>
      </c>
      <c r="C235" s="145">
        <f>C101+C106+C111+C116+C121+C126+C131+C139+C144+C149+C154+C160+C165+C170+C175+C180+C185+C190+C195+C200+C205+C210+C215+C220+C225+C230</f>
        <v>0</v>
      </c>
      <c r="D235" s="145">
        <f t="shared" ref="D235:I235" si="32">D101+D106+D111+D116+D121+D126+D131+D139+D144+D149+D154+D160+D165+D170+D175+D180+D185+D190+D195+D200+D205+D210+D215+D220+D225</f>
        <v>0</v>
      </c>
      <c r="E235" s="145">
        <f t="shared" si="32"/>
        <v>0</v>
      </c>
      <c r="F235" s="145">
        <f t="shared" si="32"/>
        <v>0</v>
      </c>
      <c r="G235" s="145">
        <f t="shared" si="32"/>
        <v>0</v>
      </c>
      <c r="H235" s="145">
        <f t="shared" si="32"/>
        <v>0</v>
      </c>
      <c r="I235" s="145">
        <f t="shared" si="32"/>
        <v>0</v>
      </c>
      <c r="J235" s="148">
        <f>J101+J106+J111+J116+J121+J126+J131+J139+J144+J149+J154+J160+J165+J170+J175+J180+J185+J190+J195+J200+J205+J210+J215+J220+J225+J230</f>
        <v>-1E-3</v>
      </c>
      <c r="K235" s="149">
        <f>K165+K131+K126+K121+K116+K106+K101+K139+K149+K144+K154+K160+K170</f>
        <v>1E-3</v>
      </c>
      <c r="O235" s="128"/>
    </row>
    <row r="236" spans="1:15" ht="9.75" customHeight="1">
      <c r="A236" s="250" t="s">
        <v>27</v>
      </c>
      <c r="B236" s="169" t="s">
        <v>8</v>
      </c>
      <c r="C236" s="170"/>
      <c r="D236" s="170"/>
      <c r="E236" s="170"/>
      <c r="F236" s="171"/>
      <c r="G236" s="170"/>
      <c r="H236" s="170"/>
      <c r="I236" s="170"/>
      <c r="J236" s="172"/>
      <c r="L236" s="128"/>
      <c r="M236" s="128"/>
      <c r="N236" s="128"/>
    </row>
    <row r="237" spans="1:15" ht="10.5" customHeight="1">
      <c r="A237" s="250"/>
      <c r="B237" s="173" t="s">
        <v>20</v>
      </c>
      <c r="C237" s="174"/>
      <c r="D237" s="174"/>
      <c r="E237" s="174"/>
      <c r="F237" s="175"/>
      <c r="G237" s="174"/>
      <c r="H237" s="174"/>
      <c r="I237" s="174"/>
      <c r="J237" s="176"/>
      <c r="M237" s="128"/>
      <c r="N237" s="128"/>
      <c r="O237" s="128"/>
    </row>
    <row r="238" spans="1:15" ht="9.75" customHeight="1">
      <c r="A238" s="250"/>
      <c r="B238" s="173" t="s">
        <v>10</v>
      </c>
      <c r="C238" s="174"/>
      <c r="D238" s="174"/>
      <c r="E238" s="174"/>
      <c r="F238" s="175"/>
      <c r="G238" s="174"/>
      <c r="H238" s="174"/>
      <c r="I238" s="174"/>
      <c r="J238" s="176"/>
      <c r="N238" s="128"/>
    </row>
    <row r="239" spans="1:15" ht="9.75" customHeight="1">
      <c r="A239" s="250"/>
      <c r="B239" s="173" t="s">
        <v>11</v>
      </c>
      <c r="C239" s="174"/>
      <c r="D239" s="174"/>
      <c r="E239" s="174"/>
      <c r="F239" s="175"/>
      <c r="G239" s="174"/>
      <c r="H239" s="174"/>
      <c r="I239" s="174"/>
      <c r="J239" s="176"/>
      <c r="K239" s="36"/>
      <c r="N239" s="128"/>
    </row>
    <row r="240" spans="1:15" ht="11.25" customHeight="1">
      <c r="A240" s="250"/>
      <c r="B240" s="177" t="s">
        <v>124</v>
      </c>
      <c r="C240" s="178"/>
      <c r="D240" s="178"/>
      <c r="E240" s="178"/>
      <c r="F240" s="179"/>
      <c r="G240" s="178"/>
      <c r="H240" s="178"/>
      <c r="I240" s="178"/>
      <c r="J240" s="180"/>
      <c r="K240" s="181"/>
    </row>
    <row r="241" spans="1:11">
      <c r="A241" s="182"/>
      <c r="B241" s="182"/>
      <c r="C241" s="182"/>
      <c r="D241" s="182"/>
      <c r="E241" s="144"/>
      <c r="F241" s="128"/>
      <c r="G241" s="183"/>
      <c r="H241" s="183"/>
      <c r="I241" s="182"/>
      <c r="J241" s="182"/>
      <c r="K241" s="182"/>
    </row>
    <row r="242" spans="1:11">
      <c r="A242" s="182"/>
      <c r="B242" s="182"/>
      <c r="C242" s="182"/>
      <c r="D242" s="182"/>
      <c r="E242" s="144"/>
      <c r="F242" s="128"/>
      <c r="G242" s="183"/>
      <c r="H242" s="183"/>
      <c r="I242" s="182"/>
      <c r="J242" s="182"/>
      <c r="K242" s="182"/>
    </row>
    <row r="243" spans="1:11">
      <c r="A243" s="182"/>
      <c r="B243" s="182"/>
      <c r="C243" s="182"/>
      <c r="D243" s="182"/>
      <c r="E243" s="144"/>
      <c r="F243" s="128"/>
      <c r="G243" s="183"/>
      <c r="H243" s="183"/>
      <c r="I243" s="182"/>
      <c r="J243" s="182"/>
      <c r="K243" s="182"/>
    </row>
    <row r="244" spans="1:11" ht="13.5" customHeight="1">
      <c r="A244" s="182"/>
      <c r="B244" s="182"/>
      <c r="C244" s="182"/>
      <c r="D244" s="182"/>
      <c r="E244" s="144"/>
      <c r="F244" s="128"/>
      <c r="G244" s="183"/>
      <c r="H244" s="183"/>
      <c r="I244" s="182"/>
      <c r="J244" s="182"/>
      <c r="K244" s="182"/>
    </row>
    <row r="245" spans="1:11" ht="13.5" customHeight="1">
      <c r="A245" s="251" t="s">
        <v>150</v>
      </c>
      <c r="B245" s="251"/>
      <c r="C245" s="251"/>
      <c r="D245" s="251"/>
      <c r="E245" s="251"/>
      <c r="F245" s="251"/>
      <c r="G245" s="251"/>
      <c r="H245" s="251"/>
      <c r="I245" s="251"/>
      <c r="J245" s="251"/>
      <c r="K245" s="182"/>
    </row>
    <row r="246" spans="1:11" ht="13.5" customHeight="1">
      <c r="A246" s="252" t="s">
        <v>151</v>
      </c>
      <c r="B246" s="253" t="s">
        <v>113</v>
      </c>
      <c r="C246" s="254" t="s">
        <v>122</v>
      </c>
      <c r="D246" s="254" t="s">
        <v>152</v>
      </c>
      <c r="E246" s="254"/>
      <c r="F246" s="254"/>
      <c r="G246" s="185"/>
      <c r="H246" s="185"/>
      <c r="I246" s="186"/>
      <c r="J246" s="187"/>
      <c r="K246" s="182"/>
    </row>
    <row r="247" spans="1:11" ht="13.5" customHeight="1">
      <c r="A247" s="252"/>
      <c r="B247" s="252"/>
      <c r="C247" s="254"/>
      <c r="D247" s="184" t="s">
        <v>153</v>
      </c>
      <c r="E247" s="188" t="s">
        <v>154</v>
      </c>
      <c r="F247" s="188" t="s">
        <v>155</v>
      </c>
      <c r="G247" s="189"/>
      <c r="H247" s="189"/>
      <c r="I247" s="190"/>
      <c r="J247" s="191"/>
      <c r="K247" s="182"/>
    </row>
    <row r="248" spans="1:11" ht="12.75" customHeight="1">
      <c r="A248" s="255" t="s">
        <v>156</v>
      </c>
      <c r="B248" s="192" t="s">
        <v>8</v>
      </c>
      <c r="C248" s="193"/>
      <c r="D248" s="194"/>
      <c r="E248" s="194"/>
      <c r="F248" s="194"/>
      <c r="G248" s="195"/>
      <c r="H248" s="195"/>
      <c r="I248" s="192"/>
      <c r="J248" s="196"/>
      <c r="K248" s="182"/>
    </row>
    <row r="249" spans="1:11">
      <c r="A249" s="255"/>
      <c r="B249" s="192" t="s">
        <v>11</v>
      </c>
      <c r="C249" s="193"/>
      <c r="D249" s="194"/>
      <c r="E249" s="194"/>
      <c r="F249" s="194"/>
      <c r="G249" s="195"/>
      <c r="H249" s="195"/>
      <c r="I249" s="192"/>
      <c r="J249" s="196"/>
      <c r="K249" s="197"/>
    </row>
    <row r="250" spans="1:11">
      <c r="A250" s="255"/>
      <c r="B250" s="192" t="s">
        <v>20</v>
      </c>
      <c r="C250" s="193"/>
      <c r="D250" s="194"/>
      <c r="E250" s="194"/>
      <c r="F250" s="194"/>
      <c r="G250" s="195"/>
      <c r="H250" s="195"/>
      <c r="I250" s="192"/>
      <c r="J250" s="196"/>
      <c r="K250" s="197"/>
    </row>
    <row r="251" spans="1:11">
      <c r="A251" s="255"/>
      <c r="B251" s="192" t="s">
        <v>10</v>
      </c>
      <c r="C251" s="193"/>
      <c r="D251" s="194"/>
      <c r="E251" s="194"/>
      <c r="F251" s="194"/>
      <c r="G251" s="195"/>
      <c r="H251" s="195"/>
      <c r="I251" s="192"/>
      <c r="J251" s="196"/>
      <c r="K251" s="197"/>
    </row>
    <row r="252" spans="1:11">
      <c r="A252" s="255"/>
      <c r="B252" s="192" t="s">
        <v>157</v>
      </c>
      <c r="C252" s="193"/>
      <c r="D252" s="194"/>
      <c r="E252" s="194"/>
      <c r="F252" s="194"/>
      <c r="G252" s="195"/>
      <c r="H252" s="195"/>
      <c r="I252" s="192"/>
      <c r="J252" s="196"/>
      <c r="K252" s="198"/>
    </row>
    <row r="253" spans="1:11">
      <c r="A253" s="255"/>
      <c r="B253" s="192" t="s">
        <v>158</v>
      </c>
      <c r="C253" s="193"/>
      <c r="D253" s="194"/>
      <c r="E253" s="194"/>
      <c r="F253" s="194"/>
      <c r="G253" s="195"/>
      <c r="H253" s="195"/>
      <c r="I253" s="192"/>
      <c r="J253" s="196"/>
      <c r="K253" s="197"/>
    </row>
    <row r="254" spans="1:11" ht="13.5" customHeight="1">
      <c r="A254" s="255"/>
      <c r="B254" s="199" t="s">
        <v>124</v>
      </c>
      <c r="C254" s="200">
        <f>SUM(C248:C253)</f>
        <v>0</v>
      </c>
      <c r="D254" s="201">
        <f>SUM(D248:D253)</f>
        <v>0</v>
      </c>
      <c r="E254" s="201">
        <f>SUM(E248:E253)</f>
        <v>0</v>
      </c>
      <c r="F254" s="201">
        <f>SUM(F248:F253)</f>
        <v>0</v>
      </c>
      <c r="G254" s="189"/>
      <c r="H254" s="189"/>
      <c r="I254" s="190"/>
      <c r="J254" s="191"/>
      <c r="K254" s="197"/>
    </row>
    <row r="255" spans="1:11" ht="12.75" customHeight="1">
      <c r="A255" s="255" t="s">
        <v>159</v>
      </c>
      <c r="B255" s="192" t="s">
        <v>8</v>
      </c>
      <c r="C255" s="193"/>
      <c r="D255" s="194"/>
      <c r="E255" s="194"/>
      <c r="F255" s="194"/>
      <c r="G255" s="195"/>
      <c r="H255" s="195"/>
      <c r="I255" s="192"/>
      <c r="J255" s="196"/>
      <c r="K255" s="197"/>
    </row>
    <row r="256" spans="1:11">
      <c r="A256" s="255"/>
      <c r="B256" s="192" t="s">
        <v>11</v>
      </c>
      <c r="C256" s="193"/>
      <c r="D256" s="194"/>
      <c r="E256" s="194"/>
      <c r="F256" s="194"/>
      <c r="G256" s="195"/>
      <c r="H256" s="195"/>
      <c r="I256" s="192"/>
      <c r="J256" s="196"/>
      <c r="K256" s="182"/>
    </row>
    <row r="257" spans="1:11">
      <c r="A257" s="255"/>
      <c r="B257" s="192" t="s">
        <v>20</v>
      </c>
      <c r="C257" s="193"/>
      <c r="D257" s="194"/>
      <c r="E257" s="194"/>
      <c r="F257" s="194"/>
      <c r="G257" s="195"/>
      <c r="H257" s="195"/>
      <c r="I257" s="192"/>
      <c r="J257" s="196"/>
      <c r="K257" s="182"/>
    </row>
    <row r="258" spans="1:11">
      <c r="A258" s="255"/>
      <c r="B258" s="192" t="s">
        <v>10</v>
      </c>
      <c r="C258" s="193"/>
      <c r="D258" s="194"/>
      <c r="E258" s="194"/>
      <c r="F258" s="194"/>
      <c r="G258" s="195"/>
      <c r="H258" s="195"/>
      <c r="I258" s="192"/>
      <c r="J258" s="196"/>
      <c r="K258" s="182"/>
    </row>
    <row r="259" spans="1:11">
      <c r="A259" s="255"/>
      <c r="B259" s="192" t="s">
        <v>157</v>
      </c>
      <c r="C259" s="193"/>
      <c r="D259" s="194"/>
      <c r="E259" s="194"/>
      <c r="F259" s="194"/>
      <c r="G259" s="195"/>
      <c r="H259" s="195"/>
      <c r="I259" s="192"/>
      <c r="J259" s="196"/>
      <c r="K259" s="182"/>
    </row>
    <row r="260" spans="1:11">
      <c r="A260" s="255"/>
      <c r="B260" s="192" t="s">
        <v>158</v>
      </c>
      <c r="C260" s="193"/>
      <c r="D260" s="194"/>
      <c r="E260" s="194"/>
      <c r="F260" s="194"/>
      <c r="G260" s="195"/>
      <c r="H260" s="195"/>
      <c r="I260" s="192"/>
      <c r="J260" s="196"/>
      <c r="K260" s="182"/>
    </row>
    <row r="261" spans="1:11" ht="13.5" customHeight="1">
      <c r="A261" s="255"/>
      <c r="B261" s="199" t="s">
        <v>124</v>
      </c>
      <c r="C261" s="200">
        <f>SUM(C255:C260)</f>
        <v>0</v>
      </c>
      <c r="D261" s="201">
        <f>SUM(D255:D260)</f>
        <v>0</v>
      </c>
      <c r="E261" s="201">
        <f>SUM(E255:E260)</f>
        <v>0</v>
      </c>
      <c r="F261" s="201">
        <f>SUM(F255:F260)</f>
        <v>0</v>
      </c>
      <c r="G261" s="189"/>
      <c r="H261" s="189"/>
      <c r="I261" s="190"/>
      <c r="J261" s="191"/>
      <c r="K261" s="182"/>
    </row>
    <row r="262" spans="1:11">
      <c r="A262" s="182"/>
      <c r="B262" s="182"/>
      <c r="C262" s="182"/>
      <c r="D262" s="182"/>
      <c r="I262" s="182"/>
      <c r="J262" s="182"/>
      <c r="K262" s="182"/>
    </row>
    <row r="263" spans="1:11">
      <c r="A263" s="182"/>
      <c r="B263" s="182"/>
      <c r="C263" s="182"/>
      <c r="D263" s="182"/>
      <c r="I263" s="182"/>
      <c r="J263" s="182"/>
      <c r="K263" s="182"/>
    </row>
    <row r="264" spans="1:11">
      <c r="A264" s="182"/>
      <c r="B264" s="182"/>
      <c r="C264" s="182"/>
      <c r="D264" s="182"/>
      <c r="I264" s="182"/>
      <c r="J264" s="182"/>
      <c r="K264" s="182"/>
    </row>
    <row r="265" spans="1:11" ht="13.5" customHeight="1">
      <c r="A265" s="182"/>
      <c r="B265" s="182"/>
      <c r="C265" s="182"/>
      <c r="D265" s="182"/>
      <c r="I265" s="182"/>
      <c r="J265" s="182"/>
      <c r="K265" s="182"/>
    </row>
    <row r="266" spans="1:11" ht="13.5" customHeight="1">
      <c r="A266" s="251" t="s">
        <v>160</v>
      </c>
      <c r="B266" s="251"/>
      <c r="C266" s="251"/>
      <c r="D266" s="251"/>
      <c r="E266" s="251"/>
      <c r="F266" s="251"/>
      <c r="G266" s="251"/>
      <c r="H266" s="251"/>
      <c r="I266" s="251"/>
      <c r="J266" s="251"/>
      <c r="K266" s="182"/>
    </row>
    <row r="267" spans="1:11" ht="13.5" customHeight="1">
      <c r="A267" s="202" t="s">
        <v>161</v>
      </c>
      <c r="B267" s="202" t="s">
        <v>113</v>
      </c>
      <c r="C267" s="203" t="s">
        <v>121</v>
      </c>
      <c r="D267" s="204"/>
      <c r="E267" s="205"/>
      <c r="F267" s="205"/>
      <c r="G267" s="205"/>
      <c r="H267" s="205"/>
      <c r="I267" s="204"/>
      <c r="J267" s="206"/>
      <c r="K267" s="182"/>
    </row>
    <row r="268" spans="1:11">
      <c r="A268" s="256" t="s">
        <v>162</v>
      </c>
      <c r="B268" s="207" t="s">
        <v>8</v>
      </c>
      <c r="C268" s="193"/>
      <c r="D268" s="192"/>
      <c r="E268" s="195"/>
      <c r="F268" s="195"/>
      <c r="G268" s="195"/>
      <c r="H268" s="195"/>
      <c r="I268" s="192"/>
      <c r="J268" s="192"/>
      <c r="K268" s="182"/>
    </row>
    <row r="269" spans="1:11">
      <c r="A269" s="256"/>
      <c r="B269" s="192" t="s">
        <v>11</v>
      </c>
      <c r="C269" s="193"/>
      <c r="D269" s="192"/>
      <c r="E269" s="195"/>
      <c r="F269" s="195"/>
      <c r="G269" s="195"/>
      <c r="H269" s="195"/>
      <c r="I269" s="192"/>
      <c r="J269" s="196"/>
      <c r="K269" s="182"/>
    </row>
    <row r="270" spans="1:11">
      <c r="A270" s="256"/>
      <c r="B270" s="192" t="s">
        <v>20</v>
      </c>
      <c r="C270" s="193"/>
      <c r="D270" s="192"/>
      <c r="E270" s="195"/>
      <c r="F270" s="195"/>
      <c r="G270" s="195"/>
      <c r="H270" s="195"/>
      <c r="I270" s="192"/>
      <c r="J270" s="196"/>
      <c r="K270" s="182"/>
    </row>
    <row r="271" spans="1:11">
      <c r="A271" s="256"/>
      <c r="B271" s="192" t="s">
        <v>10</v>
      </c>
      <c r="C271" s="193"/>
      <c r="D271" s="192"/>
      <c r="E271" s="195"/>
      <c r="F271" s="195"/>
      <c r="G271" s="195"/>
      <c r="H271" s="195"/>
      <c r="I271" s="192"/>
      <c r="J271" s="196"/>
      <c r="K271" s="182"/>
    </row>
    <row r="272" spans="1:11">
      <c r="A272" s="256"/>
      <c r="B272" s="192" t="s">
        <v>157</v>
      </c>
      <c r="C272" s="193"/>
      <c r="D272" s="192"/>
      <c r="E272" s="195"/>
      <c r="F272" s="195"/>
      <c r="G272" s="195"/>
      <c r="H272" s="195"/>
      <c r="I272" s="192"/>
      <c r="J272" s="196"/>
      <c r="K272" s="182"/>
    </row>
    <row r="273" spans="1:11">
      <c r="A273" s="256"/>
      <c r="B273" s="192" t="s">
        <v>158</v>
      </c>
      <c r="C273" s="193"/>
      <c r="D273" s="192"/>
      <c r="E273" s="195"/>
      <c r="F273" s="195"/>
      <c r="G273" s="195"/>
      <c r="H273" s="195"/>
      <c r="I273" s="192"/>
      <c r="J273" s="196"/>
      <c r="K273" s="182"/>
    </row>
    <row r="274" spans="1:11">
      <c r="A274" s="256"/>
      <c r="B274" s="192" t="s">
        <v>163</v>
      </c>
      <c r="C274" s="193"/>
      <c r="D274" s="192"/>
      <c r="E274" s="195"/>
      <c r="F274" s="195"/>
      <c r="G274" s="195"/>
      <c r="H274" s="195"/>
      <c r="I274" s="192"/>
      <c r="J274" s="196"/>
      <c r="K274" s="182"/>
    </row>
    <row r="275" spans="1:11" ht="13.5" customHeight="1">
      <c r="A275" s="256"/>
      <c r="B275" s="190" t="s">
        <v>124</v>
      </c>
      <c r="C275" s="200">
        <f>SUM(C268:C274)</f>
        <v>0</v>
      </c>
      <c r="D275" s="190"/>
      <c r="E275" s="189"/>
      <c r="F275" s="189"/>
      <c r="G275" s="189"/>
      <c r="H275" s="189"/>
      <c r="I275" s="190"/>
      <c r="J275" s="191"/>
      <c r="K275" s="182"/>
    </row>
    <row r="276" spans="1:11">
      <c r="A276" s="256" t="s">
        <v>164</v>
      </c>
      <c r="B276" s="207" t="s">
        <v>8</v>
      </c>
      <c r="C276" s="193"/>
      <c r="D276" s="192"/>
      <c r="E276" s="195"/>
      <c r="F276" s="195"/>
      <c r="G276" s="195"/>
      <c r="H276" s="195"/>
      <c r="I276" s="192"/>
      <c r="J276" s="192"/>
      <c r="K276" s="182"/>
    </row>
    <row r="277" spans="1:11">
      <c r="A277" s="256"/>
      <c r="B277" s="192" t="s">
        <v>11</v>
      </c>
      <c r="C277" s="193"/>
      <c r="D277" s="192"/>
      <c r="E277" s="195"/>
      <c r="F277" s="195"/>
      <c r="G277" s="195"/>
      <c r="H277" s="195"/>
      <c r="I277" s="192"/>
      <c r="J277" s="196"/>
      <c r="K277" s="182"/>
    </row>
    <row r="278" spans="1:11">
      <c r="A278" s="256"/>
      <c r="B278" s="192" t="s">
        <v>20</v>
      </c>
      <c r="C278" s="193"/>
      <c r="D278" s="192"/>
      <c r="E278" s="195"/>
      <c r="F278" s="195"/>
      <c r="G278" s="195"/>
      <c r="H278" s="195"/>
      <c r="I278" s="192"/>
      <c r="J278" s="196"/>
      <c r="K278" s="182"/>
    </row>
    <row r="279" spans="1:11">
      <c r="A279" s="256"/>
      <c r="B279" s="192" t="s">
        <v>10</v>
      </c>
      <c r="C279" s="193"/>
      <c r="D279" s="192"/>
      <c r="E279" s="195"/>
      <c r="F279" s="195"/>
      <c r="G279" s="195"/>
      <c r="H279" s="195"/>
      <c r="I279" s="192"/>
      <c r="J279" s="196"/>
      <c r="K279" s="182"/>
    </row>
    <row r="280" spans="1:11">
      <c r="A280" s="256"/>
      <c r="B280" s="192" t="s">
        <v>157</v>
      </c>
      <c r="C280" s="193"/>
      <c r="D280" s="192"/>
      <c r="E280" s="195"/>
      <c r="F280" s="195"/>
      <c r="G280" s="195"/>
      <c r="H280" s="195"/>
      <c r="I280" s="192"/>
      <c r="J280" s="196"/>
      <c r="K280" s="182"/>
    </row>
    <row r="281" spans="1:11">
      <c r="A281" s="256"/>
      <c r="B281" s="192" t="s">
        <v>158</v>
      </c>
      <c r="C281" s="193"/>
      <c r="D281" s="192"/>
      <c r="E281" s="195"/>
      <c r="F281" s="195"/>
      <c r="G281" s="195"/>
      <c r="H281" s="195"/>
      <c r="I281" s="192"/>
      <c r="J281" s="196"/>
      <c r="K281" s="182"/>
    </row>
    <row r="282" spans="1:11">
      <c r="A282" s="256"/>
      <c r="B282" s="192" t="s">
        <v>163</v>
      </c>
      <c r="C282" s="193"/>
      <c r="D282" s="192"/>
      <c r="E282" s="195"/>
      <c r="F282" s="195"/>
      <c r="G282" s="195"/>
      <c r="H282" s="195"/>
      <c r="I282" s="192"/>
      <c r="J282" s="196"/>
      <c r="K282" s="182"/>
    </row>
    <row r="283" spans="1:11" ht="13.5" customHeight="1">
      <c r="A283" s="256"/>
      <c r="B283" s="190" t="s">
        <v>124</v>
      </c>
      <c r="C283" s="200">
        <f>SUM(C276:C282)</f>
        <v>0</v>
      </c>
      <c r="D283" s="190"/>
      <c r="E283" s="189"/>
      <c r="F283" s="189"/>
      <c r="G283" s="189"/>
      <c r="H283" s="189"/>
      <c r="I283" s="190"/>
      <c r="J283" s="191"/>
      <c r="K283" s="182"/>
    </row>
    <row r="284" spans="1:11">
      <c r="A284" s="256" t="s">
        <v>165</v>
      </c>
      <c r="B284" s="207" t="s">
        <v>8</v>
      </c>
      <c r="C284" s="193"/>
      <c r="D284" s="192"/>
      <c r="E284" s="195"/>
      <c r="F284" s="195"/>
      <c r="G284" s="195"/>
      <c r="H284" s="195"/>
      <c r="I284" s="192"/>
      <c r="J284" s="192"/>
      <c r="K284" s="182"/>
    </row>
    <row r="285" spans="1:11">
      <c r="A285" s="256"/>
      <c r="B285" s="192" t="s">
        <v>11</v>
      </c>
      <c r="C285" s="193"/>
      <c r="D285" s="192"/>
      <c r="E285" s="195"/>
      <c r="F285" s="195"/>
      <c r="G285" s="195"/>
      <c r="H285" s="195"/>
      <c r="I285" s="192"/>
      <c r="J285" s="196"/>
      <c r="K285" s="182"/>
    </row>
    <row r="286" spans="1:11">
      <c r="A286" s="256"/>
      <c r="B286" s="192" t="s">
        <v>20</v>
      </c>
      <c r="C286" s="193"/>
      <c r="D286" s="192"/>
      <c r="E286" s="195"/>
      <c r="F286" s="195"/>
      <c r="G286" s="195"/>
      <c r="H286" s="195"/>
      <c r="I286" s="192"/>
      <c r="J286" s="196"/>
      <c r="K286" s="182"/>
    </row>
    <row r="287" spans="1:11">
      <c r="A287" s="256"/>
      <c r="B287" s="192" t="s">
        <v>10</v>
      </c>
      <c r="C287" s="193"/>
      <c r="D287" s="192"/>
      <c r="E287" s="195"/>
      <c r="F287" s="195"/>
      <c r="G287" s="195"/>
      <c r="H287" s="195"/>
      <c r="I287" s="192"/>
      <c r="J287" s="196"/>
      <c r="K287" s="182"/>
    </row>
    <row r="288" spans="1:11">
      <c r="A288" s="256"/>
      <c r="B288" s="192" t="s">
        <v>157</v>
      </c>
      <c r="C288" s="193"/>
      <c r="D288" s="192"/>
      <c r="E288" s="195"/>
      <c r="F288" s="195"/>
      <c r="G288" s="195"/>
      <c r="H288" s="195"/>
      <c r="I288" s="192"/>
      <c r="J288" s="196"/>
      <c r="K288" s="182"/>
    </row>
    <row r="289" spans="1:11">
      <c r="A289" s="256"/>
      <c r="B289" s="192" t="s">
        <v>158</v>
      </c>
      <c r="C289" s="193"/>
      <c r="D289" s="192"/>
      <c r="E289" s="195"/>
      <c r="F289" s="195"/>
      <c r="G289" s="195"/>
      <c r="H289" s="195"/>
      <c r="I289" s="192"/>
      <c r="J289" s="196"/>
      <c r="K289" s="182"/>
    </row>
    <row r="290" spans="1:11">
      <c r="A290" s="256"/>
      <c r="B290" s="192" t="s">
        <v>163</v>
      </c>
      <c r="C290" s="193"/>
      <c r="D290" s="192"/>
      <c r="E290" s="195"/>
      <c r="F290" s="195"/>
      <c r="G290" s="195"/>
      <c r="H290" s="195"/>
      <c r="I290" s="192"/>
      <c r="J290" s="196"/>
      <c r="K290" s="182"/>
    </row>
    <row r="291" spans="1:11" ht="13.5" customHeight="1">
      <c r="A291" s="256"/>
      <c r="B291" s="190" t="s">
        <v>124</v>
      </c>
      <c r="C291" s="200">
        <f>SUM(C284:C290)</f>
        <v>0</v>
      </c>
      <c r="D291" s="190"/>
      <c r="E291" s="189"/>
      <c r="F291" s="189"/>
      <c r="G291" s="189"/>
      <c r="H291" s="189"/>
      <c r="I291" s="190"/>
      <c r="J291" s="191"/>
      <c r="K291" s="182"/>
    </row>
    <row r="292" spans="1:11">
      <c r="A292" s="256" t="s">
        <v>166</v>
      </c>
      <c r="B292" s="207" t="s">
        <v>8</v>
      </c>
      <c r="C292" s="193"/>
      <c r="D292" s="192"/>
      <c r="E292" s="195"/>
      <c r="F292" s="195"/>
      <c r="G292" s="195"/>
      <c r="H292" s="195"/>
      <c r="I292" s="192"/>
      <c r="J292" s="192"/>
      <c r="K292" s="182"/>
    </row>
    <row r="293" spans="1:11">
      <c r="A293" s="256"/>
      <c r="B293" s="192" t="s">
        <v>11</v>
      </c>
      <c r="C293" s="193"/>
      <c r="D293" s="192"/>
      <c r="E293" s="195"/>
      <c r="F293" s="195"/>
      <c r="G293" s="195"/>
      <c r="H293" s="195"/>
      <c r="I293" s="192"/>
      <c r="J293" s="196"/>
      <c r="K293" s="182"/>
    </row>
    <row r="294" spans="1:11">
      <c r="A294" s="256"/>
      <c r="B294" s="192" t="s">
        <v>20</v>
      </c>
      <c r="C294" s="193"/>
      <c r="D294" s="192"/>
      <c r="E294" s="195"/>
      <c r="F294" s="195"/>
      <c r="G294" s="195"/>
      <c r="H294" s="195"/>
      <c r="I294" s="192"/>
      <c r="J294" s="196"/>
      <c r="K294" s="182"/>
    </row>
    <row r="295" spans="1:11">
      <c r="A295" s="256"/>
      <c r="B295" s="192" t="s">
        <v>10</v>
      </c>
      <c r="C295" s="193"/>
      <c r="D295" s="192"/>
      <c r="E295" s="195"/>
      <c r="F295" s="195"/>
      <c r="G295" s="195"/>
      <c r="H295" s="195"/>
      <c r="I295" s="192"/>
      <c r="J295" s="196"/>
      <c r="K295" s="182"/>
    </row>
    <row r="296" spans="1:11">
      <c r="A296" s="256"/>
      <c r="B296" s="192" t="s">
        <v>157</v>
      </c>
      <c r="C296" s="193"/>
      <c r="D296" s="192"/>
      <c r="E296" s="195"/>
      <c r="F296" s="195"/>
      <c r="G296" s="195"/>
      <c r="H296" s="195"/>
      <c r="I296" s="192"/>
      <c r="J296" s="196"/>
      <c r="K296" s="182"/>
    </row>
    <row r="297" spans="1:11">
      <c r="A297" s="256"/>
      <c r="B297" s="192" t="s">
        <v>158</v>
      </c>
      <c r="C297" s="193"/>
      <c r="D297" s="192"/>
      <c r="E297" s="195"/>
      <c r="F297" s="195"/>
      <c r="G297" s="195"/>
      <c r="H297" s="195"/>
      <c r="I297" s="192"/>
      <c r="J297" s="196"/>
      <c r="K297" s="182"/>
    </row>
    <row r="298" spans="1:11">
      <c r="A298" s="256"/>
      <c r="B298" s="192" t="s">
        <v>163</v>
      </c>
      <c r="C298" s="193"/>
      <c r="D298" s="192"/>
      <c r="E298" s="195"/>
      <c r="F298" s="195"/>
      <c r="G298" s="195"/>
      <c r="H298" s="195"/>
      <c r="I298" s="192"/>
      <c r="J298" s="196"/>
      <c r="K298" s="182"/>
    </row>
    <row r="299" spans="1:11" ht="13.5" customHeight="1">
      <c r="A299" s="256"/>
      <c r="B299" s="190" t="s">
        <v>124</v>
      </c>
      <c r="C299" s="200">
        <f>SUM(C292:C298)</f>
        <v>0</v>
      </c>
      <c r="D299" s="190"/>
      <c r="E299" s="189"/>
      <c r="F299" s="189"/>
      <c r="G299" s="189"/>
      <c r="H299" s="189"/>
      <c r="I299" s="190"/>
      <c r="J299" s="191"/>
      <c r="K299" s="182"/>
    </row>
    <row r="300" spans="1:11">
      <c r="A300" s="256" t="s">
        <v>135</v>
      </c>
      <c r="B300" s="207" t="s">
        <v>8</v>
      </c>
      <c r="C300" s="193"/>
      <c r="D300" s="192"/>
      <c r="E300" s="195"/>
      <c r="F300" s="195"/>
      <c r="G300" s="195"/>
      <c r="H300" s="195"/>
      <c r="I300" s="192"/>
      <c r="J300" s="192"/>
      <c r="K300" s="182"/>
    </row>
    <row r="301" spans="1:11">
      <c r="A301" s="256"/>
      <c r="B301" s="192" t="s">
        <v>11</v>
      </c>
      <c r="C301" s="193"/>
      <c r="D301" s="192"/>
      <c r="E301" s="195"/>
      <c r="F301" s="195"/>
      <c r="G301" s="195"/>
      <c r="H301" s="195"/>
      <c r="I301" s="192"/>
      <c r="J301" s="196"/>
      <c r="K301" s="182"/>
    </row>
    <row r="302" spans="1:11">
      <c r="A302" s="256"/>
      <c r="B302" s="192" t="s">
        <v>20</v>
      </c>
      <c r="C302" s="193"/>
      <c r="D302" s="192"/>
      <c r="E302" s="195"/>
      <c r="F302" s="195"/>
      <c r="G302" s="195"/>
      <c r="H302" s="195"/>
      <c r="I302" s="192"/>
      <c r="J302" s="196"/>
      <c r="K302" s="182"/>
    </row>
    <row r="303" spans="1:11">
      <c r="A303" s="256"/>
      <c r="B303" s="192" t="s">
        <v>10</v>
      </c>
      <c r="C303" s="193"/>
      <c r="D303" s="192"/>
      <c r="E303" s="195"/>
      <c r="F303" s="195"/>
      <c r="G303" s="195"/>
      <c r="H303" s="195"/>
      <c r="I303" s="192"/>
      <c r="J303" s="196"/>
      <c r="K303" s="182"/>
    </row>
    <row r="304" spans="1:11">
      <c r="A304" s="256"/>
      <c r="B304" s="192" t="s">
        <v>157</v>
      </c>
      <c r="C304" s="193"/>
      <c r="D304" s="192"/>
      <c r="E304" s="195"/>
      <c r="F304" s="195"/>
      <c r="G304" s="195"/>
      <c r="H304" s="195"/>
      <c r="I304" s="192"/>
      <c r="J304" s="196"/>
      <c r="K304" s="182"/>
    </row>
    <row r="305" spans="1:11">
      <c r="A305" s="256"/>
      <c r="B305" s="192" t="s">
        <v>158</v>
      </c>
      <c r="C305" s="193"/>
      <c r="D305" s="192"/>
      <c r="E305" s="195"/>
      <c r="F305" s="195"/>
      <c r="G305" s="195"/>
      <c r="H305" s="195"/>
      <c r="I305" s="192"/>
      <c r="J305" s="196"/>
      <c r="K305" s="182"/>
    </row>
    <row r="306" spans="1:11">
      <c r="A306" s="256"/>
      <c r="B306" s="192" t="s">
        <v>163</v>
      </c>
      <c r="C306" s="193"/>
      <c r="D306" s="192"/>
      <c r="E306" s="195"/>
      <c r="F306" s="195"/>
      <c r="G306" s="195"/>
      <c r="H306" s="195"/>
      <c r="I306" s="192"/>
      <c r="J306" s="196"/>
      <c r="K306" s="182"/>
    </row>
    <row r="307" spans="1:11" ht="13.5" customHeight="1">
      <c r="A307" s="256"/>
      <c r="B307" s="190" t="s">
        <v>124</v>
      </c>
      <c r="C307" s="200">
        <f>SUM(C300:C306)</f>
        <v>0</v>
      </c>
      <c r="D307" s="190"/>
      <c r="E307" s="189"/>
      <c r="F307" s="189"/>
      <c r="G307" s="189"/>
      <c r="H307" s="189"/>
      <c r="I307" s="190"/>
      <c r="J307" s="191"/>
      <c r="K307" s="182"/>
    </row>
    <row r="308" spans="1:11">
      <c r="A308" s="182"/>
      <c r="B308" s="182"/>
      <c r="C308" s="182"/>
      <c r="D308" s="182"/>
      <c r="I308" s="182"/>
      <c r="J308" s="182"/>
      <c r="K308" s="182"/>
    </row>
    <row r="309" spans="1:11">
      <c r="A309" s="182"/>
      <c r="B309" s="182"/>
      <c r="C309" s="182"/>
      <c r="D309" s="182"/>
      <c r="I309" s="182"/>
      <c r="J309" s="182"/>
      <c r="K309" s="182"/>
    </row>
    <row r="310" spans="1:11">
      <c r="A310" s="182"/>
      <c r="B310" s="182"/>
      <c r="C310" s="182"/>
      <c r="D310" s="182"/>
      <c r="I310" s="182"/>
      <c r="J310" s="182"/>
      <c r="K310" s="182"/>
    </row>
    <row r="311" spans="1:11">
      <c r="A311" s="182"/>
      <c r="B311" s="182"/>
      <c r="C311" s="182"/>
      <c r="D311" s="182"/>
      <c r="I311" s="182"/>
      <c r="J311" s="182"/>
      <c r="K311" s="182"/>
    </row>
    <row r="312" spans="1:11">
      <c r="A312" s="182"/>
      <c r="B312" s="182"/>
      <c r="C312" s="182"/>
      <c r="D312" s="182"/>
      <c r="I312" s="182"/>
      <c r="J312" s="182"/>
      <c r="K312" s="182"/>
    </row>
    <row r="313" spans="1:11">
      <c r="A313" s="182"/>
      <c r="B313" s="182"/>
      <c r="C313" s="182"/>
      <c r="D313" s="182"/>
      <c r="I313" s="182"/>
      <c r="J313" s="182"/>
      <c r="K313" s="182"/>
    </row>
    <row r="314" spans="1:11">
      <c r="A314" s="182"/>
      <c r="B314" s="182"/>
      <c r="C314" s="182"/>
      <c r="D314" s="182"/>
      <c r="I314" s="182"/>
      <c r="J314" s="182"/>
      <c r="K314" s="182"/>
    </row>
    <row r="315" spans="1:11">
      <c r="A315" s="182"/>
      <c r="B315" s="182"/>
      <c r="C315" s="182"/>
      <c r="D315" s="182"/>
      <c r="I315" s="182"/>
      <c r="J315" s="182"/>
      <c r="K315" s="182"/>
    </row>
    <row r="316" spans="1:11">
      <c r="A316" s="182"/>
      <c r="B316" s="182"/>
      <c r="C316" s="182"/>
      <c r="D316" s="182"/>
      <c r="I316" s="182"/>
      <c r="J316" s="182"/>
      <c r="K316" s="182"/>
    </row>
    <row r="317" spans="1:11">
      <c r="A317" s="182"/>
      <c r="B317" s="182"/>
      <c r="C317" s="182"/>
      <c r="D317" s="182"/>
      <c r="I317" s="182"/>
      <c r="J317" s="182"/>
      <c r="K317" s="182"/>
    </row>
    <row r="318" spans="1:11">
      <c r="A318" s="182"/>
      <c r="B318" s="182"/>
      <c r="C318" s="182"/>
      <c r="D318" s="182"/>
      <c r="I318" s="182"/>
      <c r="J318" s="182"/>
      <c r="K318" s="182"/>
    </row>
    <row r="319" spans="1:11">
      <c r="A319" s="182"/>
      <c r="B319" s="182"/>
      <c r="C319" s="182"/>
      <c r="D319" s="182"/>
      <c r="I319" s="182"/>
      <c r="J319" s="182"/>
      <c r="K319" s="182"/>
    </row>
    <row r="320" spans="1:11">
      <c r="A320" s="182"/>
      <c r="B320" s="182"/>
      <c r="C320" s="182"/>
      <c r="D320" s="182"/>
      <c r="I320" s="182"/>
      <c r="J320" s="182"/>
      <c r="K320" s="182"/>
    </row>
    <row r="321" spans="1:11">
      <c r="A321" s="182"/>
      <c r="B321" s="182"/>
      <c r="C321" s="182"/>
      <c r="D321" s="182"/>
      <c r="I321" s="182"/>
      <c r="J321" s="182"/>
      <c r="K321" s="182"/>
    </row>
    <row r="322" spans="1:11">
      <c r="A322" s="182"/>
      <c r="B322" s="182"/>
      <c r="C322" s="182"/>
      <c r="D322" s="182"/>
      <c r="I322" s="182"/>
      <c r="J322" s="182"/>
      <c r="K322" s="182"/>
    </row>
    <row r="323" spans="1:11">
      <c r="A323" s="182"/>
      <c r="B323" s="182"/>
      <c r="C323" s="182"/>
      <c r="D323" s="182"/>
      <c r="I323" s="182"/>
      <c r="J323" s="182"/>
      <c r="K323" s="182"/>
    </row>
    <row r="324" spans="1:11">
      <c r="A324" s="182"/>
      <c r="B324" s="182"/>
      <c r="C324" s="182"/>
      <c r="D324" s="182"/>
      <c r="I324" s="182"/>
      <c r="J324" s="182"/>
      <c r="K324" s="182"/>
    </row>
    <row r="1004" spans="9:9">
      <c r="I1004" s="15">
        <v>200000</v>
      </c>
    </row>
  </sheetData>
  <mergeCells count="191">
    <mergeCell ref="A284:A291"/>
    <mergeCell ref="A292:A299"/>
    <mergeCell ref="A300:A307"/>
    <mergeCell ref="A246:A247"/>
    <mergeCell ref="B246:B247"/>
    <mergeCell ref="C246:C247"/>
    <mergeCell ref="D246:F246"/>
    <mergeCell ref="A248:A254"/>
    <mergeCell ref="A255:A261"/>
    <mergeCell ref="A266:J266"/>
    <mergeCell ref="A268:A275"/>
    <mergeCell ref="A276:A283"/>
    <mergeCell ref="A201:A205"/>
    <mergeCell ref="A206:A210"/>
    <mergeCell ref="A211:A215"/>
    <mergeCell ref="A216:A220"/>
    <mergeCell ref="A221:A225"/>
    <mergeCell ref="A226:A230"/>
    <mergeCell ref="A231:A235"/>
    <mergeCell ref="A236:A240"/>
    <mergeCell ref="A245:J245"/>
    <mergeCell ref="A156:A160"/>
    <mergeCell ref="A161:A165"/>
    <mergeCell ref="A166:A170"/>
    <mergeCell ref="A171:A175"/>
    <mergeCell ref="A176:A180"/>
    <mergeCell ref="A181:A185"/>
    <mergeCell ref="A186:A190"/>
    <mergeCell ref="A191:A195"/>
    <mergeCell ref="A196:A200"/>
    <mergeCell ref="A122:A126"/>
    <mergeCell ref="A127:A131"/>
    <mergeCell ref="B132:F132"/>
    <mergeCell ref="G132:J132"/>
    <mergeCell ref="A133:J133"/>
    <mergeCell ref="A135:A139"/>
    <mergeCell ref="A140:A144"/>
    <mergeCell ref="A145:A149"/>
    <mergeCell ref="A150:A154"/>
    <mergeCell ref="B91:C91"/>
    <mergeCell ref="F91:I91"/>
    <mergeCell ref="F92:H92"/>
    <mergeCell ref="A95:J95"/>
    <mergeCell ref="A97:A101"/>
    <mergeCell ref="A102:A106"/>
    <mergeCell ref="A107:A111"/>
    <mergeCell ref="A112:A116"/>
    <mergeCell ref="A117:A121"/>
    <mergeCell ref="B86:C86"/>
    <mergeCell ref="F86:I86"/>
    <mergeCell ref="B87:C87"/>
    <mergeCell ref="F87:I87"/>
    <mergeCell ref="B88:C88"/>
    <mergeCell ref="F88:I88"/>
    <mergeCell ref="B89:C89"/>
    <mergeCell ref="F89:I89"/>
    <mergeCell ref="B90:C90"/>
    <mergeCell ref="F90:I90"/>
    <mergeCell ref="F81:H81"/>
    <mergeCell ref="B82:C82"/>
    <mergeCell ref="F82:I82"/>
    <mergeCell ref="B83:C83"/>
    <mergeCell ref="F83:I83"/>
    <mergeCell ref="B84:C84"/>
    <mergeCell ref="F84:I84"/>
    <mergeCell ref="B85:C85"/>
    <mergeCell ref="F85:I85"/>
    <mergeCell ref="B76:C76"/>
    <mergeCell ref="F76:I76"/>
    <mergeCell ref="B77:C77"/>
    <mergeCell ref="F77:I77"/>
    <mergeCell ref="B78:C78"/>
    <mergeCell ref="F78:I78"/>
    <mergeCell ref="B79:C79"/>
    <mergeCell ref="F79:I79"/>
    <mergeCell ref="B80:C80"/>
    <mergeCell ref="F80:I80"/>
    <mergeCell ref="B71:C71"/>
    <mergeCell ref="F71:I71"/>
    <mergeCell ref="B72:C72"/>
    <mergeCell ref="F72:I72"/>
    <mergeCell ref="B73:C73"/>
    <mergeCell ref="F73:I73"/>
    <mergeCell ref="B74:C74"/>
    <mergeCell ref="F74:H74"/>
    <mergeCell ref="B75:C75"/>
    <mergeCell ref="F75:I75"/>
    <mergeCell ref="B66:C66"/>
    <mergeCell ref="F66:I66"/>
    <mergeCell ref="B67:C67"/>
    <mergeCell ref="F67:I67"/>
    <mergeCell ref="B68:C68"/>
    <mergeCell ref="F68:I68"/>
    <mergeCell ref="B69:C69"/>
    <mergeCell ref="F69:I69"/>
    <mergeCell ref="B70:C70"/>
    <mergeCell ref="F70:I70"/>
    <mergeCell ref="B60:C60"/>
    <mergeCell ref="F60:I60"/>
    <mergeCell ref="B61:C61"/>
    <mergeCell ref="F61:I61"/>
    <mergeCell ref="B62:C62"/>
    <mergeCell ref="F62:I62"/>
    <mergeCell ref="F63:H63"/>
    <mergeCell ref="B65:C65"/>
    <mergeCell ref="F65:I65"/>
    <mergeCell ref="B54:C54"/>
    <mergeCell ref="F54:I54"/>
    <mergeCell ref="B55:C55"/>
    <mergeCell ref="F55:I55"/>
    <mergeCell ref="F56:I56"/>
    <mergeCell ref="B58:C58"/>
    <mergeCell ref="F58:I58"/>
    <mergeCell ref="B59:C59"/>
    <mergeCell ref="F59:I59"/>
    <mergeCell ref="F48:I48"/>
    <mergeCell ref="B50:C50"/>
    <mergeCell ref="F50:I50"/>
    <mergeCell ref="B51:C51"/>
    <mergeCell ref="F51:I51"/>
    <mergeCell ref="B52:C52"/>
    <mergeCell ref="F52:I52"/>
    <mergeCell ref="B53:C53"/>
    <mergeCell ref="F53:I53"/>
    <mergeCell ref="B43:C43"/>
    <mergeCell ref="F43:H43"/>
    <mergeCell ref="B44:C44"/>
    <mergeCell ref="F44:H44"/>
    <mergeCell ref="B45:C45"/>
    <mergeCell ref="F45:I45"/>
    <mergeCell ref="B46:C46"/>
    <mergeCell ref="F46:I46"/>
    <mergeCell ref="B47:C47"/>
    <mergeCell ref="F47:I47"/>
    <mergeCell ref="B38:C38"/>
    <mergeCell ref="F38:H38"/>
    <mergeCell ref="B39:C39"/>
    <mergeCell ref="F39:H39"/>
    <mergeCell ref="B40:C40"/>
    <mergeCell ref="F40:H40"/>
    <mergeCell ref="B41:C41"/>
    <mergeCell ref="F41:H41"/>
    <mergeCell ref="B42:C42"/>
    <mergeCell ref="F42:H42"/>
    <mergeCell ref="B33:C33"/>
    <mergeCell ref="F33:H33"/>
    <mergeCell ref="B34:C34"/>
    <mergeCell ref="F34:H34"/>
    <mergeCell ref="B35:C35"/>
    <mergeCell ref="F35:H35"/>
    <mergeCell ref="B36:C36"/>
    <mergeCell ref="F36:H36"/>
    <mergeCell ref="B37:C37"/>
    <mergeCell ref="F37:H37"/>
    <mergeCell ref="A25:C25"/>
    <mergeCell ref="A28:J28"/>
    <mergeCell ref="B29:C29"/>
    <mergeCell ref="F29:I29"/>
    <mergeCell ref="B30:C30"/>
    <mergeCell ref="F30:H30"/>
    <mergeCell ref="B31:C31"/>
    <mergeCell ref="F31:H31"/>
    <mergeCell ref="B32:C32"/>
    <mergeCell ref="F32:H32"/>
    <mergeCell ref="A13:G13"/>
    <mergeCell ref="A14:C14"/>
    <mergeCell ref="A15:C15"/>
    <mergeCell ref="A16:C16"/>
    <mergeCell ref="A17:C17"/>
    <mergeCell ref="A18:C18"/>
    <mergeCell ref="A20:C20"/>
    <mergeCell ref="A21:C21"/>
    <mergeCell ref="A22:C22"/>
    <mergeCell ref="A8:C8"/>
    <mergeCell ref="A9:C9"/>
    <mergeCell ref="D9:D10"/>
    <mergeCell ref="E9:E10"/>
    <mergeCell ref="F9:F10"/>
    <mergeCell ref="G9:G10"/>
    <mergeCell ref="A10:C10"/>
    <mergeCell ref="A11:C11"/>
    <mergeCell ref="A12:J12"/>
    <mergeCell ref="B1:F1"/>
    <mergeCell ref="G1:J1"/>
    <mergeCell ref="A2:G2"/>
    <mergeCell ref="A3:G3"/>
    <mergeCell ref="A4:C4"/>
    <mergeCell ref="A5:C5"/>
    <mergeCell ref="A6:C6"/>
    <mergeCell ref="H6:J6"/>
    <mergeCell ref="A7:C7"/>
  </mergeCells>
  <printOptions horizontalCentered="1"/>
  <pageMargins left="0.15763888888888899" right="0" top="0" bottom="0" header="0.511811023622047" footer="0.511811023622047"/>
  <pageSetup paperSize="9" scale="75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22 au 28062026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Blagogee Seedem</dc:creator>
  <dc:description/>
  <cp:lastModifiedBy>KPODAR Têko Anthelme</cp:lastModifiedBy>
  <cp:revision>0</cp:revision>
  <dcterms:created xsi:type="dcterms:W3CDTF">2026-06-25T09:29:46Z</dcterms:created>
  <dcterms:modified xsi:type="dcterms:W3CDTF">2026-07-24T16:19:04Z</dcterms:modified>
  <dc:language>en-US</dc:language>
</cp:coreProperties>
</file>